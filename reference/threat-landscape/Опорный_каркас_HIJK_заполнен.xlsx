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архив 2026 апрель  25\Бугаева 2026 вкр\статьи лето 2026\"/>
    </mc:Choice>
  </mc:AlternateContent>
  <xr:revisionPtr revIDLastSave="0" documentId="13_ncr:1_{2FCEB7D7-7526-4C8D-94CD-C411C69E9D87}" xr6:coauthVersionLast="47" xr6:coauthVersionMax="47" xr10:uidLastSave="{00000000-0000-0000-0000-000000000000}"/>
  <bookViews>
    <workbookView xWindow="-90" yWindow="360" windowWidth="19380" windowHeight="10530" tabRatio="500" xr2:uid="{00000000-000D-0000-FFFF-FFFF00000000}"/>
  </bookViews>
  <sheets>
    <sheet name="Опорный каркас киберугроз 2026" sheetId="1" r:id="rId1"/>
    <sheet name="Параметры_года" sheetId="2" r:id="rId2"/>
    <sheet name="Угрозы_модель" sheetId="3" r:id="rId3"/>
    <sheet name="Итог_по_году" sheetId="4" r:id="rId4"/>
    <sheet name="Источники_HIJK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5" i="1" l="1"/>
  <c r="J25" i="1"/>
  <c r="I25" i="1"/>
  <c r="H25" i="1"/>
  <c r="G25" i="1"/>
  <c r="H6" i="4"/>
  <c r="F6" i="4"/>
  <c r="E6" i="4"/>
  <c r="G6" i="4" s="1"/>
  <c r="H5" i="4"/>
  <c r="F5" i="4"/>
  <c r="H4" i="4"/>
  <c r="F4" i="4"/>
  <c r="R35" i="3"/>
  <c r="P35" i="3"/>
  <c r="N35" i="3"/>
  <c r="R34" i="3"/>
  <c r="P34" i="3"/>
  <c r="N34" i="3"/>
  <c r="R33" i="3"/>
  <c r="P33" i="3"/>
  <c r="N33" i="3"/>
  <c r="R32" i="3"/>
  <c r="P32" i="3"/>
  <c r="N32" i="3"/>
  <c r="R31" i="3"/>
  <c r="P31" i="3"/>
  <c r="N31" i="3"/>
  <c r="R30" i="3"/>
  <c r="P30" i="3"/>
  <c r="O30" i="3"/>
  <c r="N30" i="3"/>
  <c r="R29" i="3"/>
  <c r="P29" i="3"/>
  <c r="N29" i="3"/>
  <c r="R28" i="3"/>
  <c r="P28" i="3"/>
  <c r="N28" i="3"/>
  <c r="R27" i="3"/>
  <c r="P27" i="3"/>
  <c r="N27" i="3"/>
  <c r="R26" i="3"/>
  <c r="P26" i="3"/>
  <c r="O26" i="3"/>
  <c r="N26" i="3"/>
  <c r="R25" i="3"/>
  <c r="P25" i="3"/>
  <c r="N25" i="3"/>
  <c r="R24" i="3"/>
  <c r="P24" i="3"/>
  <c r="N24" i="3"/>
  <c r="R23" i="3"/>
  <c r="P23" i="3"/>
  <c r="N23" i="3"/>
  <c r="R22" i="3"/>
  <c r="P22" i="3"/>
  <c r="O22" i="3"/>
  <c r="N22" i="3"/>
  <c r="R21" i="3"/>
  <c r="P21" i="3"/>
  <c r="N21" i="3"/>
  <c r="R20" i="3"/>
  <c r="P20" i="3"/>
  <c r="N20" i="3"/>
  <c r="R19" i="3"/>
  <c r="P19" i="3"/>
  <c r="N19" i="3"/>
  <c r="R18" i="3"/>
  <c r="P18" i="3"/>
  <c r="O18" i="3"/>
  <c r="N18" i="3"/>
  <c r="R17" i="3"/>
  <c r="P17" i="3"/>
  <c r="N17" i="3"/>
  <c r="R16" i="3"/>
  <c r="P16" i="3"/>
  <c r="N16" i="3"/>
  <c r="R15" i="3"/>
  <c r="P15" i="3"/>
  <c r="N15" i="3"/>
  <c r="R14" i="3"/>
  <c r="P14" i="3"/>
  <c r="O14" i="3"/>
  <c r="N14" i="3"/>
  <c r="R13" i="3"/>
  <c r="P13" i="3"/>
  <c r="N13" i="3"/>
  <c r="R12" i="3"/>
  <c r="P12" i="3"/>
  <c r="N12" i="3"/>
  <c r="R11" i="3"/>
  <c r="P11" i="3"/>
  <c r="N11" i="3"/>
  <c r="R10" i="3"/>
  <c r="P10" i="3"/>
  <c r="O10" i="3"/>
  <c r="N10" i="3"/>
  <c r="R9" i="3"/>
  <c r="P9" i="3"/>
  <c r="N9" i="3"/>
  <c r="R8" i="3"/>
  <c r="P8" i="3"/>
  <c r="N8" i="3"/>
  <c r="R7" i="3"/>
  <c r="P7" i="3"/>
  <c r="N7" i="3"/>
  <c r="R6" i="3"/>
  <c r="P6" i="3"/>
  <c r="O6" i="3"/>
  <c r="N6" i="3"/>
  <c r="R5" i="3"/>
  <c r="P5" i="3"/>
  <c r="N5" i="3"/>
  <c r="R4" i="3"/>
  <c r="P4" i="3"/>
  <c r="N4" i="3"/>
  <c r="H23" i="1"/>
  <c r="F23" i="1"/>
  <c r="G21" i="1"/>
  <c r="J23" i="1" s="1"/>
  <c r="L17" i="1"/>
  <c r="L15" i="1"/>
  <c r="L13" i="1"/>
  <c r="L11" i="1"/>
  <c r="L9" i="1"/>
  <c r="L7" i="1"/>
  <c r="L5" i="1"/>
  <c r="L3" i="1"/>
  <c r="M15" i="1" l="1"/>
  <c r="M13" i="1"/>
  <c r="M11" i="1"/>
  <c r="M7" i="1"/>
  <c r="M5" i="1"/>
  <c r="M3" i="1"/>
  <c r="M6" i="1"/>
  <c r="M8" i="1"/>
  <c r="Q7" i="3"/>
  <c r="O7" i="3"/>
  <c r="Q15" i="3"/>
  <c r="Q31" i="3"/>
  <c r="Q33" i="3"/>
  <c r="O33" i="3"/>
  <c r="Q4" i="3"/>
  <c r="O11" i="3"/>
  <c r="Q11" i="3" s="1"/>
  <c r="O15" i="3"/>
  <c r="O19" i="3"/>
  <c r="Q19" i="3" s="1"/>
  <c r="O23" i="3"/>
  <c r="Q23" i="3" s="1"/>
  <c r="O27" i="3"/>
  <c r="Q27" i="3" s="1"/>
  <c r="O31" i="3"/>
  <c r="O32" i="3"/>
  <c r="Q32" i="3" s="1"/>
  <c r="O4" i="3"/>
  <c r="O8" i="3"/>
  <c r="Q8" i="3" s="1"/>
  <c r="O12" i="3"/>
  <c r="Q12" i="3" s="1"/>
  <c r="O16" i="3"/>
  <c r="Q16" i="3" s="1"/>
  <c r="O20" i="3"/>
  <c r="Q20" i="3" s="1"/>
  <c r="O24" i="3"/>
  <c r="Q24" i="3" s="1"/>
  <c r="O28" i="3"/>
  <c r="Q28" i="3" s="1"/>
  <c r="O35" i="3"/>
  <c r="Q35" i="3" s="1"/>
  <c r="L16" i="1"/>
  <c r="L14" i="1"/>
  <c r="L12" i="1"/>
  <c r="L10" i="1"/>
  <c r="M10" i="1" s="1"/>
  <c r="L8" i="1"/>
  <c r="L6" i="1"/>
  <c r="L4" i="1"/>
  <c r="M4" i="1" s="1"/>
  <c r="L2" i="1"/>
  <c r="M2" i="1" s="1"/>
  <c r="I23" i="1"/>
  <c r="M16" i="1" s="1"/>
  <c r="O5" i="3"/>
  <c r="Q5" i="3" s="1"/>
  <c r="Q6" i="3"/>
  <c r="O9" i="3"/>
  <c r="Q9" i="3" s="1"/>
  <c r="Q10" i="3"/>
  <c r="O13" i="3"/>
  <c r="Q13" i="3" s="1"/>
  <c r="Q14" i="3"/>
  <c r="O17" i="3"/>
  <c r="Q17" i="3" s="1"/>
  <c r="Q18" i="3"/>
  <c r="O21" i="3"/>
  <c r="Q21" i="3" s="1"/>
  <c r="Q22" i="3"/>
  <c r="O25" i="3"/>
  <c r="Q25" i="3" s="1"/>
  <c r="Q26" i="3"/>
  <c r="O29" i="3"/>
  <c r="Q29" i="3" s="1"/>
  <c r="Q30" i="3"/>
  <c r="Q34" i="3"/>
  <c r="O34" i="3"/>
  <c r="S29" i="3" l="1"/>
  <c r="T29" i="3" s="1"/>
  <c r="U29" i="3" s="1"/>
  <c r="S21" i="3"/>
  <c r="T21" i="3" s="1"/>
  <c r="U21" i="3" s="1"/>
  <c r="S13" i="3"/>
  <c r="T13" i="3" s="1"/>
  <c r="U13" i="3" s="1"/>
  <c r="S5" i="3"/>
  <c r="T5" i="3" s="1"/>
  <c r="U5" i="3" s="1"/>
  <c r="S24" i="3"/>
  <c r="T24" i="3" s="1"/>
  <c r="U24" i="3" s="1"/>
  <c r="S8" i="3"/>
  <c r="T8" i="3" s="1"/>
  <c r="U8" i="3" s="1"/>
  <c r="S27" i="3"/>
  <c r="T27" i="3" s="1"/>
  <c r="U27" i="3" s="1"/>
  <c r="S11" i="3"/>
  <c r="T11" i="3" s="1"/>
  <c r="U11" i="3" s="1"/>
  <c r="S20" i="3"/>
  <c r="T20" i="3" s="1"/>
  <c r="U20" i="3" s="1"/>
  <c r="S23" i="3"/>
  <c r="T23" i="3" s="1"/>
  <c r="U23" i="3" s="1"/>
  <c r="S25" i="3"/>
  <c r="T25" i="3" s="1"/>
  <c r="U25" i="3" s="1"/>
  <c r="S17" i="3"/>
  <c r="T17" i="3" s="1"/>
  <c r="U17" i="3" s="1"/>
  <c r="S9" i="3"/>
  <c r="T9" i="3" s="1"/>
  <c r="U9" i="3" s="1"/>
  <c r="S35" i="3"/>
  <c r="T35" i="3"/>
  <c r="U35" i="3" s="1"/>
  <c r="S16" i="3"/>
  <c r="T16" i="3" s="1"/>
  <c r="U16" i="3" s="1"/>
  <c r="S32" i="3"/>
  <c r="T32" i="3" s="1"/>
  <c r="U32" i="3" s="1"/>
  <c r="S19" i="3"/>
  <c r="T19" i="3" s="1"/>
  <c r="U19" i="3" s="1"/>
  <c r="S28" i="3"/>
  <c r="T28" i="3" s="1"/>
  <c r="U28" i="3" s="1"/>
  <c r="S12" i="3"/>
  <c r="T12" i="3" s="1"/>
  <c r="U12" i="3" s="1"/>
  <c r="S34" i="3"/>
  <c r="T34" i="3"/>
  <c r="U34" i="3" s="1"/>
  <c r="S33" i="3"/>
  <c r="T33" i="3"/>
  <c r="U33" i="3" s="1"/>
  <c r="S7" i="3"/>
  <c r="T7" i="3" s="1"/>
  <c r="U7" i="3" s="1"/>
  <c r="S30" i="3"/>
  <c r="T30" i="3" s="1"/>
  <c r="U30" i="3" s="1"/>
  <c r="S22" i="3"/>
  <c r="T22" i="3" s="1"/>
  <c r="U22" i="3" s="1"/>
  <c r="S14" i="3"/>
  <c r="T14" i="3" s="1"/>
  <c r="U14" i="3" s="1"/>
  <c r="S6" i="3"/>
  <c r="T6" i="3" s="1"/>
  <c r="U6" i="3" s="1"/>
  <c r="S31" i="3"/>
  <c r="T31" i="3" s="1"/>
  <c r="U31" i="3" s="1"/>
  <c r="S15" i="3"/>
  <c r="T15" i="3" s="1"/>
  <c r="U15" i="3" s="1"/>
  <c r="B5" i="4"/>
  <c r="B6" i="4"/>
  <c r="T4" i="3"/>
  <c r="U4" i="3" s="1"/>
  <c r="B4" i="4"/>
  <c r="S4" i="3"/>
  <c r="S26" i="3"/>
  <c r="T26" i="3" s="1"/>
  <c r="U26" i="3" s="1"/>
  <c r="T18" i="3"/>
  <c r="U18" i="3" s="1"/>
  <c r="S18" i="3"/>
  <c r="S10" i="3"/>
  <c r="T10" i="3" s="1"/>
  <c r="U10" i="3" s="1"/>
  <c r="M12" i="1"/>
  <c r="M14" i="1"/>
  <c r="M9" i="1"/>
  <c r="M17" i="1"/>
  <c r="E5" i="4" l="1"/>
  <c r="G5" i="4" s="1"/>
  <c r="E4" i="4"/>
  <c r="G4" i="4" s="1"/>
  <c r="D6" i="4"/>
  <c r="C6" i="4"/>
  <c r="C4" i="4"/>
  <c r="D4" i="4" s="1"/>
  <c r="C5" i="4"/>
  <c r="D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H4" authorId="0" shapeId="0" xr:uid="{00000000-0006-0000-0200-000001000000}">
      <text>
        <r>
          <rPr>
            <sz val="10"/>
            <rFont val="Arial"/>
            <family val="2"/>
          </rPr>
          <t>q_i,t: годовая вероятность/доля реализации угрозы.</t>
        </r>
      </text>
    </comment>
    <comment ref="J4" authorId="0" shapeId="0" xr:uid="{00000000-0006-0000-0200-000002000000}">
      <text>
        <r>
          <rPr>
            <sz val="10"/>
            <rFont val="Arial"/>
            <family val="2"/>
          </rPr>
          <t>T_down: длительность полной остановки функции.</t>
        </r>
      </text>
    </comment>
    <comment ref="K4" authorId="0" shapeId="0" xr:uid="{00000000-0006-0000-0200-000003000000}">
      <text>
        <r>
          <rPr>
            <sz val="10"/>
            <rFont val="Arial"/>
            <family val="2"/>
          </rPr>
          <t>T_degr: длительность деградированной работы.</t>
        </r>
      </text>
    </comment>
    <comment ref="L4" authorId="0" shapeId="0" xr:uid="{00000000-0006-0000-0200-000004000000}">
      <text>
        <r>
          <rPr>
            <sz val="10"/>
            <rFont val="Arial"/>
            <family val="2"/>
          </rPr>
          <t>T_rec: время полного восстановления.</t>
        </r>
      </text>
    </comment>
  </commentList>
</comments>
</file>

<file path=xl/sharedStrings.xml><?xml version="1.0" encoding="utf-8"?>
<sst xmlns="http://schemas.openxmlformats.org/spreadsheetml/2006/main" count="449" uniqueCount="193">
  <si>
    <t>№</t>
  </si>
  <si>
    <t>Официальное название</t>
  </si>
  <si>
    <t>Сленг специалиста информационной безопасности</t>
  </si>
  <si>
    <t>"Биологический" каркас</t>
  </si>
  <si>
    <t>Логика БХК (Тип ошибки)</t>
  </si>
  <si>
    <t>Топологический инвариант</t>
  </si>
  <si>
    <t>Уровень токсичности</t>
  </si>
  <si>
    <t>Время простоя МСП, час</t>
  </si>
  <si>
    <t>Время восстановления функциональности МСП, час</t>
  </si>
  <si>
    <t>Процент % потери производительной функциональности</t>
  </si>
  <si>
    <t>Время восстановления потерянных документов и отчетов, час</t>
  </si>
  <si>
    <t>Стоимость восстановления документов, руб.</t>
  </si>
  <si>
    <t>ИТОГО ущерб экономический</t>
  </si>
  <si>
    <t>Deepfake-атаки</t>
  </si>
  <si>
    <t>Дипфейк-развод / подмена голоса и лица</t>
  </si>
  <si>
    <t>Мимикрия (мимикрия вида)</t>
  </si>
  <si>
    <t>Подмена конструкта личности</t>
  </si>
  <si>
    <t>Изоморфизм ложного и истинного профиля</t>
  </si>
  <si>
    <t>Критический</t>
  </si>
  <si>
    <t>Token Theft (Session Hijacking)</t>
  </si>
  <si>
    <t>Угон токена / кража сессии</t>
  </si>
  <si>
    <t>Кража рецептора</t>
  </si>
  <si>
    <t>Нарушение типизации сессии</t>
  </si>
  <si>
    <t>Разрыв связности «Владелец — Доступ»</t>
  </si>
  <si>
    <t>LLM Jailbreaking</t>
  </si>
  <si>
    <t>Взлом промпта / джейлбрейк модели</t>
  </si>
  <si>
    <t>Гормональный сбой</t>
  </si>
  <si>
    <t>Логический парадокс в ядре</t>
  </si>
  <si>
    <t>Инверсия векторов управления</t>
  </si>
  <si>
    <t>Высокий</t>
  </si>
  <si>
    <t>Data Poisoning</t>
  </si>
  <si>
    <t>Отравление данных / poisoning датасета</t>
  </si>
  <si>
    <t>Генетическая мутация</t>
  </si>
  <si>
    <t>Ошибка в индуктивном выводе</t>
  </si>
  <si>
    <t>Деформация обучающего пространства</t>
  </si>
  <si>
    <t>Supply Chain Hijacking</t>
  </si>
  <si>
    <t>Взлом цепочки поставки / supply-chain захват</t>
  </si>
  <si>
    <t>Аутоиммунное поражение</t>
  </si>
  <si>
    <t>Нарушение транзитивности доверия</t>
  </si>
  <si>
    <t>Замкнутый цикл в графе поставок</t>
  </si>
  <si>
    <t>Polymorphic Ransomware</t>
  </si>
  <si>
    <t>Полиморфный шифровальщик</t>
  </si>
  <si>
    <t>Вирус с изменчивым капсидом</t>
  </si>
  <si>
    <t>Неразрешимость алгоритма (P≠NP)</t>
  </si>
  <si>
    <t>Динамическая трансформация формы</t>
  </si>
  <si>
    <t>Triple Extortion</t>
  </si>
  <si>
    <t>Тройное вымогательство</t>
  </si>
  <si>
    <t>Полиорганная недостаточность</t>
  </si>
  <si>
    <t>Композиция (умножение) угроз</t>
  </si>
  <si>
    <t>Расширение границы поражения</t>
  </si>
  <si>
    <t>Automated Botnet Swarms</t>
  </si>
  <si>
    <t>Ботнет-рой / swarm-атака</t>
  </si>
  <si>
    <t>Рой (групповой разум)</t>
  </si>
  <si>
    <t>Ошибка распределенного консенсуса</t>
  </si>
  <si>
    <t>Изменение глобальной связности сети</t>
  </si>
  <si>
    <t>Quantum-Decryption</t>
  </si>
  <si>
    <t>Квантовый взлом шифрования / post-quantum риск</t>
  </si>
  <si>
    <t>Разрушитель иммунитета</t>
  </si>
  <si>
    <t>Коллапс сложности доказательства</t>
  </si>
  <si>
    <t>Схлопывание криптографических дыр</t>
  </si>
  <si>
    <t>Ghost Logging</t>
  </si>
  <si>
    <t>Тихое логирование / невидимый сбор логов</t>
  </si>
  <si>
    <t>Невидимость (стелс)</t>
  </si>
  <si>
    <t>Доказательство «пустого» события</t>
  </si>
  <si>
    <t>Удаление ребер в графе аудита</t>
  </si>
  <si>
    <t>Средний</t>
  </si>
  <si>
    <t>API &amp; Shadow AI Attacks</t>
  </si>
  <si>
    <t>Атаки на API и теневой ИИ</t>
  </si>
  <si>
    <t>Уязвимость мембраны</t>
  </si>
  <si>
    <t>Нарушение интерфейса типов</t>
  </si>
  <si>
    <t>Прокол в топологической границе</t>
  </si>
  <si>
    <t>Adaptive Malware</t>
  </si>
  <si>
    <t>Мутирующий вредонос / обход EDR</t>
  </si>
  <si>
    <t>Эволюционная адаптация</t>
  </si>
  <si>
    <t>Самодоказывающийся код</t>
  </si>
  <si>
    <t>Гомеоморфизм вредоносных функций</t>
  </si>
  <si>
    <t>Hyper-Phishing</t>
  </si>
  <si>
    <t>Гиперфишинг / AI-фишинг под человека</t>
  </si>
  <si>
    <t>Психосоматика</t>
  </si>
  <si>
    <t>Эксплуатация контекста</t>
  </si>
  <si>
    <t>Направленный граф «Доверие — Клик»</t>
  </si>
  <si>
    <t>Cryptojacking 2.0</t>
  </si>
  <si>
    <t>Скрытый майнинг 2.0 / криптоджекинг</t>
  </si>
  <si>
    <t>Паразитарный симбиоз</t>
  </si>
  <si>
    <t>Побочный эффект вычисления</t>
  </si>
  <si>
    <t>Скрытый цикл потребления ресурсов</t>
  </si>
  <si>
    <t>Open Source Poisoning</t>
  </si>
  <si>
    <t>Отравление open-source пакетов</t>
  </si>
  <si>
    <t>Горизонтальный перенос генов</t>
  </si>
  <si>
    <t>Ошибка в библиотечных термах</t>
  </si>
  <si>
    <t>Внедрение подграфа в корень системы</t>
  </si>
  <si>
    <t>Атаки на КИИ (Саботаж)</t>
  </si>
  <si>
    <t>Саботаж КИИ / удар по критике</t>
  </si>
  <si>
    <t>Инфаркт инфраструктуры</t>
  </si>
  <si>
    <t>Нарушение терминального состояния</t>
  </si>
  <si>
    <t>Полный разрыв графа жизнеобеспечения</t>
  </si>
  <si>
    <t>выручка в год</t>
  </si>
  <si>
    <t>выручка в день</t>
  </si>
  <si>
    <t>ООО "Серконс"</t>
  </si>
  <si>
    <t>рабочих дней в год</t>
  </si>
  <si>
    <t>экономические потери (потеря выручки)</t>
  </si>
  <si>
    <t>часов в день</t>
  </si>
  <si>
    <t>выручка в час</t>
  </si>
  <si>
    <t>Параметры расчёта ущерба от простоя и бюджета ИБ по годам</t>
  </si>
  <si>
    <t>Год</t>
  </si>
  <si>
    <t>Выручка в год, руб.</t>
  </si>
  <si>
    <t>Маржинальная ценность дня, руб.</t>
  </si>
  <si>
    <t>Базовая стоимость восстановления в день, руб.</t>
  </si>
  <si>
    <t>Коэф. деградации</t>
  </si>
  <si>
    <t>Коэф. штрафов/репутации</t>
  </si>
  <si>
    <t>Средняя эффективность мер ИБ</t>
  </si>
  <si>
    <t>Комментарий</t>
  </si>
  <si>
    <t>Источник статистики/оценки</t>
  </si>
  <si>
    <t>URL</t>
  </si>
  <si>
    <t>Иллюстративный сценарий; пользователь меняет под свою фирму</t>
  </si>
  <si>
    <t>NIST/IBM/Sophos/Veeam + внутренняя отчётность</t>
  </si>
  <si>
    <t>https://nvlpubs.nist.gov/nistpubs/SpecialPublications/NIST.SP.800-55v1.pdf</t>
  </si>
  <si>
    <t>Рост цифровой зависимости и удорожание восстановления</t>
  </si>
  <si>
    <t>IBM / ENISA / Verizon</t>
  </si>
  <si>
    <t>https://www.ibm.com/think/insights/whats-new-2024-cost-of-a-data-breach-report</t>
  </si>
  <si>
    <t>Иллюстративный прогноз при росте сложности угроз</t>
  </si>
  <si>
    <t>ENISA / Sophos / Verizon</t>
  </si>
  <si>
    <t>https://www.enisa.europa.eu/publications/enisa-threat-landscape-2024</t>
  </si>
  <si>
    <t>Модель ущерба от простоя, деструкции и восстановления по угрозам</t>
  </si>
  <si>
    <t>Биологический каркас</t>
  </si>
  <si>
    <t>Тип ошибки</t>
  </si>
  <si>
    <t>Инвариант</t>
  </si>
  <si>
    <t>Токсичность</t>
  </si>
  <si>
    <t>q_i,t вероятность</t>
  </si>
  <si>
    <t>k_crit</t>
  </si>
  <si>
    <t>T_down, дни</t>
  </si>
  <si>
    <t>T_degr, дни</t>
  </si>
  <si>
    <t>T_rec, дни</t>
  </si>
  <si>
    <t>L_irr, руб.</t>
  </si>
  <si>
    <t>C_down/day</t>
  </si>
  <si>
    <t>C_degr/day</t>
  </si>
  <si>
    <t>C_rec/day</t>
  </si>
  <si>
    <t>L_i,t до мер</t>
  </si>
  <si>
    <t>m_i,t эффект мер</t>
  </si>
  <si>
    <t>L_i,t после мер</t>
  </si>
  <si>
    <t>ΔU_i,t предотвращено</t>
  </si>
  <si>
    <t>B_i,t вклад в бюджет</t>
  </si>
  <si>
    <t>Примечание</t>
  </si>
  <si>
    <t>Редактируемые входы: H:M; формулы: N:U</t>
  </si>
  <si>
    <t>Итог расчёта бюджета ИБ как функции предотвращаемого ущерба</t>
  </si>
  <si>
    <t>Ожидаемый ущерб до мер</t>
  </si>
  <si>
    <t>Ожидаемый ущерб после мер</t>
  </si>
  <si>
    <t>Предотвращаемый ущерб</t>
  </si>
  <si>
    <t>Рекомендуемый бюджет ИБ</t>
  </si>
  <si>
    <t>Выручка в год</t>
  </si>
  <si>
    <t>Бюджет / выручка</t>
  </si>
  <si>
    <t>Средняя эффективность мер</t>
  </si>
  <si>
    <t>Бюджет трактуется как денежное отражение статистически предотвращаемого ущерба</t>
  </si>
  <si>
    <t>Базовая формула</t>
  </si>
  <si>
    <t>B_t = Σ_i q_i,t × ΔU_i,t</t>
  </si>
  <si>
    <t>Развёрнутая формула</t>
  </si>
  <si>
    <t>ΔU_i,t = [C_down·T_down + C_degr·T_degr + C_rec·T_rec + L_irr] × m_i,t</t>
  </si>
  <si>
    <t>Угроза</t>
  </si>
  <si>
    <t>H (T_down, ч)</t>
  </si>
  <si>
    <t>I (T_rec, ч)</t>
  </si>
  <si>
    <t>J (%)</t>
  </si>
  <si>
    <t>K (T_doc, ч)</t>
  </si>
  <si>
    <t>Метод</t>
  </si>
  <si>
    <t>Рейтинг достоверности</t>
  </si>
  <si>
    <t>Источник / обоснование</t>
  </si>
  <si>
    <t>Эмпирический</t>
  </si>
  <si>
    <t>★★★★</t>
  </si>
  <si>
    <t>Right-Hand.AI 2025: downtime up to 7 days; Gartner May 2025: 62% org hit deepfake SE. Median H=10h.</t>
  </si>
  <si>
    <t>IBM X-Force 2024: stolen creds 30% incidents; CSA 2024: 73% hijacking → cloud; Cisco Talos 2024: 60% IR = identity vector. Verizon DBIR 2025.</t>
  </si>
  <si>
    <t>Дельфи/κ_obs</t>
  </si>
  <si>
    <t>★★☆☆</t>
  </si>
  <si>
    <t>OWASP LLM Top-10 2025 (LLM03); IBM CODB 2025: 31% AI breaches = operational disruption. No direct T_down data — Delphi κ_obs=0.6.</t>
  </si>
  <si>
    <t>Wiz 2025: full dataset rollback required; Obsidian 2025: MTTR; IBM CODB 2025: AI incident avg $4.5M + disruption. Data Poisoning recovery weeks.</t>
  </si>
  <si>
    <t>SOCRadar 2025: 72% orgs &gt;1 week recovery; TechRadar: manufacturing/healthcare &gt;6 wk; IBM CODB: supply chain breach $4.91M avg.</t>
  </si>
  <si>
    <t>Huntress 2026: avg ransomware downtime 24 days; Sophos 2025: avg recovery $1.53M; Coveware Q4 2024: encryption &lt;4h; Halcyon: 21 days avg.</t>
  </si>
  <si>
    <t>Verizon DBIR 2025: ransomware 44% breaches; Halcyon 2025: 77% incidents = exfil before encrypt; IBM: $5.08M avg ransomware breach.</t>
  </si>
  <si>
    <t>DBIR 2025: SMB DDoS/botnet pattern; Cloudflare 2025: US 14.3% global DDoS. DDoS-only downtime typically &lt;1 day for SMB without data loss.</t>
  </si>
  <si>
    <t>Thales 2025: 62% CNI orgs fear future encryption compromise. Harvest-now-decrypt-later. No realised T_down — Delphi extrapolation κ_obs=0.1.</t>
  </si>
  <si>
    <t>IBM CODB 2025: median detection 204 days; Ghost Logging = zero visible T_down, latent damage. Delphi κ_obs=0.3. J reflects background degradation.</t>
  </si>
  <si>
    <t>IBM CODB 2025: shadow AI breach +$670K; 1 in 5 orgs breached via shadow AI; SaaS breaches +300% (Sep2023–2024). Cisco Talos 2024.</t>
  </si>
  <si>
    <t>Sophos 2025: avg recovery $1.53M; ENISA TL 2025: adaptive malware evades EDR; Huntress 2026: full domain encryption &lt;4h, recovery 24 days.</t>
  </si>
  <si>
    <t>Verizon DBIR 2024: median time-to-click 21s; FBI IC3 2024: 193,407 phishing complaints, $70M losses; SMB avg phishing breach $140K (2025 SMB Report).</t>
  </si>
  <si>
    <t>FMI: cryptojacking market $17B; covert = low T_down; CPU/GPU degradation 15–35%. No direct SMB T_down data — Delphi estimate.</t>
  </si>
  <si>
    <t>Sonatype 2024: 512,847 malicious packages +156% YoY; ReversingLabs: +1300% 2020–2023; recovery = full dependency audit. Supply-chain analog.</t>
  </si>
  <si>
    <t>FBI IC3 2025: CNI primary ransomware target; London hospitals 2024: &gt;800 ops cancelled; Change Healthcare 2024: weeks offline; manufacturing avg 72h (StationX 2026).</t>
  </si>
  <si>
    <t>ЛЕГЕНДА:</t>
  </si>
  <si>
    <t>Эмпирический (синий)</t>
  </si>
  <si>
    <t>★★★★ — данные из Verizon DBIR, IBM CODB, Sophos, Huntress, SOCRadar (2024–2025)</t>
  </si>
  <si>
    <t>Дельфи/κ_obs (зелёный)</t>
  </si>
  <si>
    <t>★★☆☆ — κ_obs &lt; 0.7; требует экспертной панели n≥12, CR &lt; 0.10 (Dalkey &amp; Helmer 1963)</t>
  </si>
  <si>
    <t>Экстраполяция (жёлтый)</t>
  </si>
  <si>
    <t>★☆☆☆ — угроза формирующаяся; BAI-экстраполяция по NTI (формула 7, Статья 3)</t>
  </si>
  <si>
    <t>курс рубля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</si>
</sst>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\ _₽_-;\-* #,##0.00\ _₽_-;_-* \-??\ _₽_-;_-@_-"/>
    <numFmt numFmtId="165" formatCode="_(* #,##0.00_);_(* \(#,##0.00\);_(* \-??_);_(@_)"/>
    <numFmt numFmtId="166" formatCode="_-* #,##0.00_-;\-* #,##0.00_-;_-* \-??_-;_-@_-"/>
    <numFmt numFmtId="167" formatCode="0.0%"/>
    <numFmt numFmtId="168" formatCode="0.0"/>
    <numFmt numFmtId="169" formatCode="_-* #,##0.00\ _₽_-;\-* #,##0.00\ _₽_-;_-* &quot;-&quot;??\ _₽_-;_-@_-"/>
  </numFmts>
  <fonts count="16" x14ac:knownFonts="1">
    <font>
      <sz val="10"/>
      <color rgb="FF000000"/>
      <name val="Arial"/>
      <charset val="1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1"/>
      <color rgb="FF0000FF"/>
      <name val="Arial"/>
      <family val="2"/>
      <charset val="204"/>
    </font>
    <font>
      <sz val="11"/>
      <color rgb="FF000000"/>
      <name val="Arial"/>
      <family val="2"/>
      <charset val="204"/>
    </font>
    <font>
      <sz val="11"/>
      <color rgb="FF008000"/>
      <name val="Arial"/>
      <family val="2"/>
      <charset val="204"/>
    </font>
    <font>
      <sz val="12"/>
      <name val="Segoe UI"/>
      <family val="2"/>
      <charset val="204"/>
    </font>
    <font>
      <b/>
      <sz val="10"/>
      <color rgb="FF000000"/>
      <name val="Arial"/>
      <family val="2"/>
      <charset val="204"/>
    </font>
    <font>
      <b/>
      <sz val="14"/>
      <color rgb="FFFFFFFF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</font>
    <font>
      <b/>
      <sz val="10"/>
      <color rgb="FFFFFFFF"/>
      <name val="Arial"/>
      <family val="2"/>
      <charset val="204"/>
    </font>
    <font>
      <sz val="9"/>
      <name val="Arial"/>
      <family val="2"/>
      <charset val="204"/>
    </font>
    <font>
      <b/>
      <sz val="11"/>
      <name val="Arial"/>
      <family val="2"/>
      <charset val="204"/>
    </font>
    <font>
      <b/>
      <sz val="9"/>
      <name val="Arial"/>
      <family val="2"/>
      <charset val="204"/>
    </font>
    <font>
      <sz val="9"/>
      <color rgb="FF00000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DDEEFF"/>
        <bgColor rgb="FFD9E2F3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1F4E79"/>
      </patternFill>
    </fill>
    <fill>
      <patternFill patternType="solid">
        <fgColor rgb="FFD9E2F3"/>
        <bgColor rgb="FFDDEE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2F0D9"/>
        <bgColor rgb="FFE2EFDA"/>
      </patternFill>
    </fill>
    <fill>
      <patternFill patternType="solid">
        <fgColor rgb="FF1F4E79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5" fontId="2" fillId="0" borderId="0"/>
  </cellStyleXfs>
  <cellXfs count="4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6" fillId="4" borderId="0" xfId="0" applyFont="1" applyFill="1" applyAlignment="1">
      <alignment horizontal="center" vertical="center" wrapText="1"/>
    </xf>
    <xf numFmtId="166" fontId="0" fillId="4" borderId="0" xfId="1" applyNumberFormat="1" applyFont="1" applyFill="1" applyAlignment="1">
      <alignment horizontal="center" vertical="center"/>
    </xf>
    <xf numFmtId="164" fontId="0" fillId="0" borderId="0" xfId="0" applyNumberFormat="1"/>
    <xf numFmtId="164" fontId="7" fillId="4" borderId="0" xfId="0" applyNumberFormat="1" applyFont="1" applyFill="1"/>
    <xf numFmtId="0" fontId="0" fillId="4" borderId="0" xfId="0" applyFill="1"/>
    <xf numFmtId="0" fontId="9" fillId="6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 wrapText="1"/>
    </xf>
    <xf numFmtId="2" fontId="0" fillId="0" borderId="0" xfId="0" applyNumberFormat="1" applyAlignment="1">
      <alignment vertical="top" wrapText="1"/>
    </xf>
    <xf numFmtId="167" fontId="0" fillId="7" borderId="0" xfId="0" applyNumberFormat="1" applyFill="1" applyAlignment="1">
      <alignment vertical="top" wrapText="1"/>
    </xf>
    <xf numFmtId="2" fontId="0" fillId="7" borderId="0" xfId="0" applyNumberFormat="1" applyFill="1" applyAlignment="1">
      <alignment vertical="top" wrapText="1"/>
    </xf>
    <xf numFmtId="168" fontId="0" fillId="7" borderId="0" xfId="0" applyNumberFormat="1" applyFill="1" applyAlignment="1">
      <alignment vertical="top" wrapText="1"/>
    </xf>
    <xf numFmtId="3" fontId="0" fillId="8" borderId="0" xfId="0" applyNumberFormat="1" applyFill="1" applyAlignment="1">
      <alignment vertical="top" wrapText="1"/>
    </xf>
    <xf numFmtId="3" fontId="0" fillId="9" borderId="0" xfId="0" applyNumberFormat="1" applyFill="1" applyAlignment="1">
      <alignment vertical="top" wrapText="1"/>
    </xf>
    <xf numFmtId="0" fontId="9" fillId="0" borderId="0" xfId="0" applyFont="1"/>
    <xf numFmtId="0" fontId="11" fillId="10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left" vertical="top" wrapText="1"/>
    </xf>
    <xf numFmtId="0" fontId="12" fillId="3" borderId="0" xfId="0" applyFont="1" applyFill="1" applyAlignment="1">
      <alignment horizontal="left" vertical="top" wrapText="1"/>
    </xf>
    <xf numFmtId="0" fontId="13" fillId="0" borderId="0" xfId="0" applyFont="1"/>
    <xf numFmtId="0" fontId="12" fillId="2" borderId="0" xfId="0" applyFont="1" applyFill="1"/>
    <xf numFmtId="0" fontId="12" fillId="0" borderId="0" xfId="0" applyFont="1"/>
    <xf numFmtId="0" fontId="12" fillId="3" borderId="0" xfId="0" applyFont="1" applyFill="1"/>
    <xf numFmtId="0" fontId="12" fillId="7" borderId="0" xfId="0" applyFont="1" applyFill="1"/>
    <xf numFmtId="0" fontId="2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14" fillId="6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3" fontId="15" fillId="0" borderId="1" xfId="0" applyNumberFormat="1" applyFont="1" applyBorder="1" applyAlignment="1">
      <alignment horizontal="center" vertical="center" wrapText="1"/>
    </xf>
    <xf numFmtId="167" fontId="15" fillId="0" borderId="1" xfId="0" applyNumberFormat="1" applyFont="1" applyBorder="1" applyAlignment="1">
      <alignment horizontal="center" vertical="center" wrapText="1"/>
    </xf>
    <xf numFmtId="2" fontId="15" fillId="0" borderId="1" xfId="0" applyNumberFormat="1" applyFont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169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E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topLeftCell="C1" zoomScale="70" zoomScaleNormal="70" workbookViewId="0">
      <selection activeCell="L25" sqref="L25"/>
    </sheetView>
  </sheetViews>
  <sheetFormatPr defaultColWidth="12.6796875" defaultRowHeight="13" x14ac:dyDescent="0.6"/>
  <cols>
    <col min="1" max="1" width="6.86328125" customWidth="1"/>
    <col min="2" max="2" width="26.31640625" customWidth="1"/>
    <col min="3" max="3" width="45.453125" customWidth="1"/>
    <col min="4" max="4" width="29.76953125" customWidth="1"/>
    <col min="5" max="5" width="31.2265625" customWidth="1"/>
    <col min="6" max="6" width="40.2265625" customWidth="1"/>
    <col min="7" max="7" width="15.54296875" customWidth="1"/>
    <col min="8" max="8" width="16.6796875" customWidth="1"/>
    <col min="9" max="9" width="18.08984375" customWidth="1"/>
    <col min="10" max="10" width="19" customWidth="1"/>
    <col min="11" max="11" width="15.76953125" customWidth="1"/>
    <col min="12" max="12" width="17.76953125" customWidth="1"/>
    <col min="13" max="13" width="16.54296875" customWidth="1"/>
  </cols>
  <sheetData>
    <row r="1" spans="1:13" ht="71.25" customHeight="1" x14ac:dyDescent="0.6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2" t="s">
        <v>12</v>
      </c>
    </row>
    <row r="2" spans="1:13" ht="15.75" customHeight="1" x14ac:dyDescent="0.6">
      <c r="A2" s="4">
        <v>1</v>
      </c>
      <c r="B2" s="5" t="s">
        <v>13</v>
      </c>
      <c r="C2" s="5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6">
        <v>10</v>
      </c>
      <c r="I2" s="6">
        <v>48</v>
      </c>
      <c r="J2" s="6">
        <v>90</v>
      </c>
      <c r="K2" s="6">
        <v>16</v>
      </c>
      <c r="L2" s="7">
        <f t="shared" ref="L2:L17" si="0">K2*$F$23*0.25</f>
        <v>2187500</v>
      </c>
      <c r="M2" s="7">
        <f>H23+I23+J23+L2</f>
        <v>36093750</v>
      </c>
    </row>
    <row r="3" spans="1:13" ht="15.75" customHeight="1" x14ac:dyDescent="0.6">
      <c r="A3" s="4">
        <v>2</v>
      </c>
      <c r="B3" s="5" t="s">
        <v>19</v>
      </c>
      <c r="C3" s="5" t="s">
        <v>20</v>
      </c>
      <c r="D3" s="4" t="s">
        <v>21</v>
      </c>
      <c r="E3" s="4" t="s">
        <v>22</v>
      </c>
      <c r="F3" s="4" t="s">
        <v>23</v>
      </c>
      <c r="G3" s="4" t="s">
        <v>18</v>
      </c>
      <c r="H3" s="6">
        <v>16</v>
      </c>
      <c r="I3" s="6">
        <v>40</v>
      </c>
      <c r="J3" s="6">
        <v>75</v>
      </c>
      <c r="K3" s="6">
        <v>24</v>
      </c>
      <c r="L3" s="8">
        <f t="shared" si="0"/>
        <v>3281250</v>
      </c>
      <c r="M3" s="8">
        <f>H23+I23+J23+L3</f>
        <v>37187500</v>
      </c>
    </row>
    <row r="4" spans="1:13" ht="15.75" customHeight="1" x14ac:dyDescent="0.6">
      <c r="A4" s="4">
        <v>3</v>
      </c>
      <c r="B4" s="5" t="s">
        <v>24</v>
      </c>
      <c r="C4" s="5" t="s">
        <v>25</v>
      </c>
      <c r="D4" s="4" t="s">
        <v>26</v>
      </c>
      <c r="E4" s="4" t="s">
        <v>27</v>
      </c>
      <c r="F4" s="4" t="s">
        <v>28</v>
      </c>
      <c r="G4" s="4" t="s">
        <v>29</v>
      </c>
      <c r="H4" s="9">
        <v>4</v>
      </c>
      <c r="I4" s="9">
        <v>16</v>
      </c>
      <c r="J4" s="9">
        <v>35</v>
      </c>
      <c r="K4" s="9">
        <v>48</v>
      </c>
      <c r="L4" s="7">
        <f t="shared" si="0"/>
        <v>6562500</v>
      </c>
      <c r="M4" s="7">
        <f>H23+I23+J23+L4</f>
        <v>40468750</v>
      </c>
    </row>
    <row r="5" spans="1:13" ht="15.75" customHeight="1" x14ac:dyDescent="0.6">
      <c r="A5" s="4">
        <v>4</v>
      </c>
      <c r="B5" s="5" t="s">
        <v>30</v>
      </c>
      <c r="C5" s="5" t="s">
        <v>31</v>
      </c>
      <c r="D5" s="4" t="s">
        <v>32</v>
      </c>
      <c r="E5" s="4" t="s">
        <v>33</v>
      </c>
      <c r="F5" s="4" t="s">
        <v>34</v>
      </c>
      <c r="G5" s="4" t="s">
        <v>29</v>
      </c>
      <c r="H5" s="6">
        <v>144</v>
      </c>
      <c r="I5" s="6">
        <v>480</v>
      </c>
      <c r="J5" s="6">
        <v>55</v>
      </c>
      <c r="K5" s="6">
        <v>360</v>
      </c>
      <c r="L5" s="7">
        <f t="shared" si="0"/>
        <v>49218750</v>
      </c>
      <c r="M5" s="7">
        <f>H23+I23+J23+L5</f>
        <v>83125000</v>
      </c>
    </row>
    <row r="6" spans="1:13" ht="15.75" customHeight="1" x14ac:dyDescent="0.6">
      <c r="A6" s="4">
        <v>5</v>
      </c>
      <c r="B6" s="5" t="s">
        <v>35</v>
      </c>
      <c r="C6" s="5" t="s">
        <v>36</v>
      </c>
      <c r="D6" s="4" t="s">
        <v>37</v>
      </c>
      <c r="E6" s="4" t="s">
        <v>38</v>
      </c>
      <c r="F6" s="4" t="s">
        <v>39</v>
      </c>
      <c r="G6" s="4" t="s">
        <v>18</v>
      </c>
      <c r="H6" s="6">
        <v>96</v>
      </c>
      <c r="I6" s="6">
        <v>336</v>
      </c>
      <c r="J6" s="6">
        <v>90</v>
      </c>
      <c r="K6" s="6">
        <v>480</v>
      </c>
      <c r="L6" s="7">
        <f t="shared" si="0"/>
        <v>65625000</v>
      </c>
      <c r="M6" s="7">
        <f>H23+I23+J23+L6</f>
        <v>99531250</v>
      </c>
    </row>
    <row r="7" spans="1:13" ht="15.75" customHeight="1" x14ac:dyDescent="0.6">
      <c r="A7" s="4">
        <v>6</v>
      </c>
      <c r="B7" s="5" t="s">
        <v>40</v>
      </c>
      <c r="C7" s="5" t="s">
        <v>41</v>
      </c>
      <c r="D7" s="4" t="s">
        <v>42</v>
      </c>
      <c r="E7" s="4" t="s">
        <v>43</v>
      </c>
      <c r="F7" s="4" t="s">
        <v>44</v>
      </c>
      <c r="G7" s="4" t="s">
        <v>29</v>
      </c>
      <c r="H7" s="6">
        <v>192</v>
      </c>
      <c r="I7" s="6">
        <v>480</v>
      </c>
      <c r="J7" s="6">
        <v>95</v>
      </c>
      <c r="K7" s="6">
        <v>576</v>
      </c>
      <c r="L7" s="7">
        <f t="shared" si="0"/>
        <v>78750000</v>
      </c>
      <c r="M7" s="7">
        <f>H23+I23+J23+L7</f>
        <v>112656250</v>
      </c>
    </row>
    <row r="8" spans="1:13" ht="15.75" customHeight="1" x14ac:dyDescent="0.6">
      <c r="A8" s="4">
        <v>7</v>
      </c>
      <c r="B8" s="5" t="s">
        <v>45</v>
      </c>
      <c r="C8" s="5" t="s">
        <v>46</v>
      </c>
      <c r="D8" s="4" t="s">
        <v>47</v>
      </c>
      <c r="E8" s="4" t="s">
        <v>48</v>
      </c>
      <c r="F8" s="4" t="s">
        <v>49</v>
      </c>
      <c r="G8" s="4" t="s">
        <v>18</v>
      </c>
      <c r="H8" s="6">
        <v>240</v>
      </c>
      <c r="I8" s="6">
        <v>576</v>
      </c>
      <c r="J8" s="6">
        <v>98</v>
      </c>
      <c r="K8" s="6">
        <v>720</v>
      </c>
      <c r="L8" s="7">
        <f t="shared" si="0"/>
        <v>98437500</v>
      </c>
      <c r="M8" s="7">
        <f>H23+I23+J23+L8</f>
        <v>132343750</v>
      </c>
    </row>
    <row r="9" spans="1:13" ht="15.75" customHeight="1" x14ac:dyDescent="0.6">
      <c r="A9" s="4">
        <v>8</v>
      </c>
      <c r="B9" s="5" t="s">
        <v>50</v>
      </c>
      <c r="C9" s="5" t="s">
        <v>51</v>
      </c>
      <c r="D9" s="4" t="s">
        <v>52</v>
      </c>
      <c r="E9" s="4" t="s">
        <v>53</v>
      </c>
      <c r="F9" s="4" t="s">
        <v>54</v>
      </c>
      <c r="G9" s="4" t="s">
        <v>29</v>
      </c>
      <c r="H9" s="6">
        <v>8</v>
      </c>
      <c r="I9" s="6">
        <v>48</v>
      </c>
      <c r="J9" s="6">
        <v>60</v>
      </c>
      <c r="K9" s="6">
        <v>72</v>
      </c>
      <c r="L9" s="7">
        <f t="shared" si="0"/>
        <v>9843750</v>
      </c>
      <c r="M9" s="7">
        <f>H23+I23+J23+L9</f>
        <v>43750000</v>
      </c>
    </row>
    <row r="10" spans="1:13" ht="15.75" customHeight="1" x14ac:dyDescent="0.6">
      <c r="A10" s="4">
        <v>9</v>
      </c>
      <c r="B10" s="5" t="s">
        <v>55</v>
      </c>
      <c r="C10" s="5" t="s">
        <v>56</v>
      </c>
      <c r="D10" s="4" t="s">
        <v>57</v>
      </c>
      <c r="E10" s="4" t="s">
        <v>58</v>
      </c>
      <c r="F10" s="4" t="s">
        <v>59</v>
      </c>
      <c r="G10" s="4" t="s">
        <v>18</v>
      </c>
      <c r="H10" s="9">
        <v>8760</v>
      </c>
      <c r="I10" s="9">
        <v>8760</v>
      </c>
      <c r="J10" s="9">
        <v>100</v>
      </c>
      <c r="K10" s="9">
        <v>8760</v>
      </c>
      <c r="L10" s="7">
        <f t="shared" si="0"/>
        <v>1197656250</v>
      </c>
      <c r="M10" s="7">
        <f>H23+I23+J23+L10</f>
        <v>1231562500</v>
      </c>
    </row>
    <row r="11" spans="1:13" ht="15.75" customHeight="1" x14ac:dyDescent="0.6">
      <c r="A11" s="4">
        <v>10</v>
      </c>
      <c r="B11" s="5" t="s">
        <v>60</v>
      </c>
      <c r="C11" s="5" t="s">
        <v>61</v>
      </c>
      <c r="D11" s="4" t="s">
        <v>62</v>
      </c>
      <c r="E11" s="4" t="s">
        <v>63</v>
      </c>
      <c r="F11" s="4" t="s">
        <v>64</v>
      </c>
      <c r="G11" s="4" t="s">
        <v>65</v>
      </c>
      <c r="H11" s="9">
        <v>0</v>
      </c>
      <c r="I11" s="9">
        <v>480</v>
      </c>
      <c r="J11" s="9">
        <v>10</v>
      </c>
      <c r="K11" s="9">
        <v>480</v>
      </c>
      <c r="L11" s="7">
        <f t="shared" si="0"/>
        <v>65625000</v>
      </c>
      <c r="M11" s="7">
        <f>H23+I23+J23+L11</f>
        <v>99531250</v>
      </c>
    </row>
    <row r="12" spans="1:13" ht="15.75" customHeight="1" x14ac:dyDescent="0.6">
      <c r="A12" s="4">
        <v>11</v>
      </c>
      <c r="B12" s="5" t="s">
        <v>66</v>
      </c>
      <c r="C12" s="5" t="s">
        <v>67</v>
      </c>
      <c r="D12" s="4" t="s">
        <v>68</v>
      </c>
      <c r="E12" s="4" t="s">
        <v>69</v>
      </c>
      <c r="F12" s="4" t="s">
        <v>70</v>
      </c>
      <c r="G12" s="4" t="s">
        <v>29</v>
      </c>
      <c r="H12" s="6">
        <v>16</v>
      </c>
      <c r="I12" s="6">
        <v>72</v>
      </c>
      <c r="J12" s="6">
        <v>70</v>
      </c>
      <c r="K12" s="6">
        <v>120</v>
      </c>
      <c r="L12" s="7">
        <f t="shared" si="0"/>
        <v>16406250</v>
      </c>
      <c r="M12" s="7">
        <f>H23+I23+J23+L12</f>
        <v>50312500</v>
      </c>
    </row>
    <row r="13" spans="1:13" ht="15.75" customHeight="1" x14ac:dyDescent="0.6">
      <c r="A13" s="4">
        <v>12</v>
      </c>
      <c r="B13" s="5" t="s">
        <v>71</v>
      </c>
      <c r="C13" s="5" t="s">
        <v>72</v>
      </c>
      <c r="D13" s="4" t="s">
        <v>73</v>
      </c>
      <c r="E13" s="4" t="s">
        <v>74</v>
      </c>
      <c r="F13" s="4" t="s">
        <v>75</v>
      </c>
      <c r="G13" s="4" t="s">
        <v>29</v>
      </c>
      <c r="H13" s="6">
        <v>96</v>
      </c>
      <c r="I13" s="6">
        <v>336</v>
      </c>
      <c r="J13" s="6">
        <v>80</v>
      </c>
      <c r="K13" s="6">
        <v>480</v>
      </c>
      <c r="L13" s="7">
        <f t="shared" si="0"/>
        <v>65625000</v>
      </c>
      <c r="M13" s="7">
        <f>H23+I23+J23+L13</f>
        <v>99531250</v>
      </c>
    </row>
    <row r="14" spans="1:13" ht="15.75" customHeight="1" x14ac:dyDescent="0.6">
      <c r="A14" s="4">
        <v>13</v>
      </c>
      <c r="B14" s="5" t="s">
        <v>76</v>
      </c>
      <c r="C14" s="5" t="s">
        <v>77</v>
      </c>
      <c r="D14" s="4" t="s">
        <v>78</v>
      </c>
      <c r="E14" s="4" t="s">
        <v>79</v>
      </c>
      <c r="F14" s="4" t="s">
        <v>80</v>
      </c>
      <c r="G14" s="4" t="s">
        <v>65</v>
      </c>
      <c r="H14" s="6">
        <v>2</v>
      </c>
      <c r="I14" s="6">
        <v>8</v>
      </c>
      <c r="J14" s="6">
        <v>30</v>
      </c>
      <c r="K14" s="6">
        <v>16</v>
      </c>
      <c r="L14" s="7">
        <f t="shared" si="0"/>
        <v>2187500</v>
      </c>
      <c r="M14" s="7">
        <f>H23+I23+J23+L14</f>
        <v>36093750</v>
      </c>
    </row>
    <row r="15" spans="1:13" ht="15.75" customHeight="1" x14ac:dyDescent="0.6">
      <c r="A15" s="4">
        <v>14</v>
      </c>
      <c r="B15" s="5" t="s">
        <v>81</v>
      </c>
      <c r="C15" s="5" t="s">
        <v>82</v>
      </c>
      <c r="D15" s="4" t="s">
        <v>83</v>
      </c>
      <c r="E15" s="4" t="s">
        <v>84</v>
      </c>
      <c r="F15" s="4" t="s">
        <v>85</v>
      </c>
      <c r="G15" s="4" t="s">
        <v>65</v>
      </c>
      <c r="H15" s="9">
        <v>4</v>
      </c>
      <c r="I15" s="9">
        <v>24</v>
      </c>
      <c r="J15" s="9">
        <v>25</v>
      </c>
      <c r="K15" s="9">
        <v>32</v>
      </c>
      <c r="L15" s="7">
        <f t="shared" si="0"/>
        <v>4375000</v>
      </c>
      <c r="M15" s="7">
        <f>H23+I23+J23+L15</f>
        <v>38281250</v>
      </c>
    </row>
    <row r="16" spans="1:13" ht="15.75" customHeight="1" x14ac:dyDescent="0.6">
      <c r="A16" s="4">
        <v>15</v>
      </c>
      <c r="B16" s="5" t="s">
        <v>86</v>
      </c>
      <c r="C16" s="5" t="s">
        <v>87</v>
      </c>
      <c r="D16" s="4" t="s">
        <v>88</v>
      </c>
      <c r="E16" s="4" t="s">
        <v>89</v>
      </c>
      <c r="F16" s="4" t="s">
        <v>90</v>
      </c>
      <c r="G16" s="4" t="s">
        <v>29</v>
      </c>
      <c r="H16" s="6">
        <v>240</v>
      </c>
      <c r="I16" s="6">
        <v>960</v>
      </c>
      <c r="J16" s="6">
        <v>65</v>
      </c>
      <c r="K16" s="6">
        <v>1440</v>
      </c>
      <c r="L16" s="7">
        <f t="shared" si="0"/>
        <v>196875000</v>
      </c>
      <c r="M16" s="7">
        <f>H23+I23+J23+L16</f>
        <v>230781250</v>
      </c>
    </row>
    <row r="17" spans="1:13" ht="15.75" customHeight="1" x14ac:dyDescent="0.6">
      <c r="A17" s="4">
        <v>16</v>
      </c>
      <c r="B17" s="5" t="s">
        <v>91</v>
      </c>
      <c r="C17" s="5" t="s">
        <v>92</v>
      </c>
      <c r="D17" s="4" t="s">
        <v>93</v>
      </c>
      <c r="E17" s="4" t="s">
        <v>94</v>
      </c>
      <c r="F17" s="4" t="s">
        <v>95</v>
      </c>
      <c r="G17" s="4" t="s">
        <v>18</v>
      </c>
      <c r="H17" s="6">
        <v>168</v>
      </c>
      <c r="I17" s="6">
        <v>720</v>
      </c>
      <c r="J17" s="6">
        <v>97</v>
      </c>
      <c r="K17" s="6">
        <v>960</v>
      </c>
      <c r="L17" s="7">
        <f t="shared" si="0"/>
        <v>131250000</v>
      </c>
      <c r="M17" s="7">
        <f>H23+I23+J23+L17</f>
        <v>165156250</v>
      </c>
    </row>
    <row r="19" spans="1:13" ht="15.75" customHeight="1" x14ac:dyDescent="0.6">
      <c r="F19" s="10" t="s">
        <v>96</v>
      </c>
      <c r="G19" s="10" t="s">
        <v>97</v>
      </c>
    </row>
    <row r="20" spans="1:13" ht="15.75" customHeight="1" x14ac:dyDescent="0.6">
      <c r="E20" s="11" t="s">
        <v>98</v>
      </c>
      <c r="F20" s="12">
        <v>1400000000</v>
      </c>
    </row>
    <row r="21" spans="1:13" ht="15.75" customHeight="1" x14ac:dyDescent="0.6">
      <c r="E21" s="10" t="s">
        <v>99</v>
      </c>
      <c r="F21">
        <v>320</v>
      </c>
      <c r="G21" s="13">
        <f>F20/F21</f>
        <v>4375000</v>
      </c>
      <c r="H21" s="34" t="s">
        <v>100</v>
      </c>
      <c r="I21" s="34"/>
      <c r="J21" s="34"/>
      <c r="K21" s="34"/>
    </row>
    <row r="22" spans="1:13" ht="15.75" customHeight="1" x14ac:dyDescent="0.6">
      <c r="E22" s="10" t="s">
        <v>101</v>
      </c>
      <c r="F22">
        <v>8</v>
      </c>
    </row>
    <row r="23" spans="1:13" ht="15.75" customHeight="1" x14ac:dyDescent="0.6">
      <c r="E23" s="10" t="s">
        <v>102</v>
      </c>
      <c r="F23" s="14">
        <f>F20/F21/F22</f>
        <v>546875</v>
      </c>
      <c r="H23" s="13">
        <f>F23*H3</f>
        <v>8750000</v>
      </c>
      <c r="I23" s="13">
        <f>F23*I3</f>
        <v>21875000</v>
      </c>
      <c r="J23" s="13">
        <f>(G21*J3/100)</f>
        <v>3281250</v>
      </c>
      <c r="K23" s="15"/>
    </row>
    <row r="24" spans="1:13" x14ac:dyDescent="0.6">
      <c r="E24" s="10" t="s">
        <v>192</v>
      </c>
      <c r="F24">
        <v>78</v>
      </c>
    </row>
    <row r="25" spans="1:13" x14ac:dyDescent="0.6">
      <c r="F25" s="14">
        <f>F23/F24</f>
        <v>7011.2179487179483</v>
      </c>
      <c r="G25" s="44">
        <f>G21/F24</f>
        <v>56089.743589743586</v>
      </c>
      <c r="H25" s="44">
        <f>H23/F24</f>
        <v>112179.48717948717</v>
      </c>
      <c r="I25" s="44">
        <f>I23/F24</f>
        <v>280448.71794871794</v>
      </c>
      <c r="J25" s="44">
        <f>J23/F24</f>
        <v>42067.307692307695</v>
      </c>
    </row>
  </sheetData>
  <mergeCells count="1">
    <mergeCell ref="H21:K2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showGridLines="0" zoomScaleNormal="100" workbookViewId="0">
      <selection sqref="A1:J1"/>
    </sheetView>
  </sheetViews>
  <sheetFormatPr defaultColWidth="8.6796875" defaultRowHeight="13" x14ac:dyDescent="0.6"/>
  <cols>
    <col min="1" max="1" width="10" customWidth="1"/>
    <col min="2" max="2" width="18" customWidth="1"/>
    <col min="3" max="3" width="20" customWidth="1"/>
    <col min="4" max="4" width="24" customWidth="1"/>
    <col min="5" max="5" width="14" customWidth="1"/>
    <col min="6" max="7" width="18" customWidth="1"/>
    <col min="8" max="8" width="30" customWidth="1"/>
    <col min="9" max="9" width="26" customWidth="1"/>
    <col min="10" max="10" width="34" customWidth="1"/>
  </cols>
  <sheetData>
    <row r="1" spans="1:10" ht="17.25" customHeight="1" x14ac:dyDescent="0.8">
      <c r="A1" s="35" t="s">
        <v>103</v>
      </c>
      <c r="B1" s="35"/>
      <c r="C1" s="35"/>
      <c r="D1" s="35"/>
      <c r="E1" s="35"/>
      <c r="F1" s="35"/>
      <c r="G1" s="35"/>
      <c r="H1" s="35"/>
      <c r="I1" s="35"/>
      <c r="J1" s="35"/>
    </row>
    <row r="3" spans="1:10" ht="36.75" customHeight="1" x14ac:dyDescent="0.6">
      <c r="A3" s="16" t="s">
        <v>104</v>
      </c>
      <c r="B3" s="16" t="s">
        <v>105</v>
      </c>
      <c r="C3" s="16" t="s">
        <v>106</v>
      </c>
      <c r="D3" s="16" t="s">
        <v>107</v>
      </c>
      <c r="E3" s="16" t="s">
        <v>108</v>
      </c>
      <c r="F3" s="16" t="s">
        <v>109</v>
      </c>
      <c r="G3" s="16" t="s">
        <v>110</v>
      </c>
      <c r="H3" s="16" t="s">
        <v>111</v>
      </c>
      <c r="I3" s="16" t="s">
        <v>112</v>
      </c>
      <c r="J3" s="16" t="s">
        <v>113</v>
      </c>
    </row>
    <row r="4" spans="1:10" ht="36.75" customHeight="1" x14ac:dyDescent="0.6">
      <c r="A4" s="17">
        <v>2024</v>
      </c>
      <c r="B4" s="18">
        <v>365000000</v>
      </c>
      <c r="C4" s="18">
        <v>500000</v>
      </c>
      <c r="D4" s="18">
        <v>250000</v>
      </c>
      <c r="E4" s="19">
        <v>0.45</v>
      </c>
      <c r="F4" s="19">
        <v>0.12</v>
      </c>
      <c r="G4" s="19">
        <v>0.32</v>
      </c>
      <c r="H4" s="17" t="s">
        <v>114</v>
      </c>
      <c r="I4" s="17" t="s">
        <v>115</v>
      </c>
      <c r="J4" s="17" t="s">
        <v>116</v>
      </c>
    </row>
    <row r="5" spans="1:10" ht="24" customHeight="1" x14ac:dyDescent="0.6">
      <c r="A5" s="17">
        <v>2025</v>
      </c>
      <c r="B5" s="18">
        <v>401500000</v>
      </c>
      <c r="C5" s="18">
        <v>550000</v>
      </c>
      <c r="D5" s="18">
        <v>275000</v>
      </c>
      <c r="E5" s="19">
        <v>0.46</v>
      </c>
      <c r="F5" s="19">
        <v>0.13</v>
      </c>
      <c r="G5" s="19">
        <v>0.35</v>
      </c>
      <c r="H5" s="17" t="s">
        <v>117</v>
      </c>
      <c r="I5" s="17" t="s">
        <v>118</v>
      </c>
      <c r="J5" s="17" t="s">
        <v>119</v>
      </c>
    </row>
    <row r="6" spans="1:10" ht="24" customHeight="1" x14ac:dyDescent="0.6">
      <c r="A6" s="17">
        <v>2026</v>
      </c>
      <c r="B6" s="18">
        <v>441650000</v>
      </c>
      <c r="C6" s="18">
        <v>605000</v>
      </c>
      <c r="D6" s="18">
        <v>302500</v>
      </c>
      <c r="E6" s="19">
        <v>0.48</v>
      </c>
      <c r="F6" s="19">
        <v>0.14000000000000001</v>
      </c>
      <c r="G6" s="19">
        <v>0.38</v>
      </c>
      <c r="H6" s="17" t="s">
        <v>120</v>
      </c>
      <c r="I6" s="17" t="s">
        <v>121</v>
      </c>
      <c r="J6" s="17" t="s">
        <v>122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5"/>
  <sheetViews>
    <sheetView showGridLines="0" zoomScale="55" zoomScaleNormal="55" workbookViewId="0">
      <selection activeCell="A36" sqref="A36"/>
    </sheetView>
  </sheetViews>
  <sheetFormatPr defaultColWidth="8.6796875" defaultRowHeight="13" x14ac:dyDescent="0.6"/>
  <cols>
    <col min="1" max="1" width="9" customWidth="1"/>
    <col min="2" max="2" width="5" customWidth="1"/>
    <col min="3" max="3" width="28" customWidth="1"/>
    <col min="4" max="5" width="18" customWidth="1"/>
    <col min="6" max="6" width="22" customWidth="1"/>
    <col min="7" max="7" width="16.2265625" customWidth="1"/>
    <col min="8" max="8" width="10" customWidth="1"/>
    <col min="9" max="9" width="8" customWidth="1"/>
    <col min="10" max="12" width="10" customWidth="1"/>
    <col min="13" max="17" width="13" customWidth="1"/>
    <col min="18" max="18" width="9" customWidth="1"/>
    <col min="19" max="21" width="13" customWidth="1"/>
    <col min="22" max="22" width="18" customWidth="1"/>
  </cols>
  <sheetData>
    <row r="1" spans="1:22" ht="17.25" customHeight="1" x14ac:dyDescent="0.8">
      <c r="A1" s="35" t="s">
        <v>123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</row>
    <row r="3" spans="1:22" ht="36.75" customHeight="1" x14ac:dyDescent="0.6">
      <c r="A3" s="16" t="s">
        <v>104</v>
      </c>
      <c r="B3" s="16" t="s">
        <v>0</v>
      </c>
      <c r="C3" s="16" t="s">
        <v>1</v>
      </c>
      <c r="D3" s="16" t="s">
        <v>124</v>
      </c>
      <c r="E3" s="16" t="s">
        <v>125</v>
      </c>
      <c r="F3" s="16" t="s">
        <v>126</v>
      </c>
      <c r="G3" s="16" t="s">
        <v>127</v>
      </c>
      <c r="H3" s="16" t="s">
        <v>128</v>
      </c>
      <c r="I3" s="16" t="s">
        <v>129</v>
      </c>
      <c r="J3" s="16" t="s">
        <v>130</v>
      </c>
      <c r="K3" s="16" t="s">
        <v>131</v>
      </c>
      <c r="L3" s="16" t="s">
        <v>132</v>
      </c>
      <c r="M3" s="16" t="s">
        <v>133</v>
      </c>
      <c r="N3" s="16" t="s">
        <v>134</v>
      </c>
      <c r="O3" s="16" t="s">
        <v>135</v>
      </c>
      <c r="P3" s="16" t="s">
        <v>136</v>
      </c>
      <c r="Q3" s="16" t="s">
        <v>137</v>
      </c>
      <c r="R3" s="16" t="s">
        <v>138</v>
      </c>
      <c r="S3" s="16" t="s">
        <v>139</v>
      </c>
      <c r="T3" s="16" t="s">
        <v>140</v>
      </c>
      <c r="U3" s="16" t="s">
        <v>141</v>
      </c>
      <c r="V3" s="16" t="s">
        <v>142</v>
      </c>
    </row>
    <row r="4" spans="1:22" ht="36.75" customHeight="1" x14ac:dyDescent="0.6">
      <c r="A4" s="17">
        <v>2024</v>
      </c>
      <c r="B4" s="17">
        <v>1</v>
      </c>
      <c r="C4" s="17" t="s">
        <v>13</v>
      </c>
      <c r="D4" s="17" t="s">
        <v>15</v>
      </c>
      <c r="E4" s="17" t="s">
        <v>16</v>
      </c>
      <c r="F4" s="17" t="s">
        <v>17</v>
      </c>
      <c r="G4" s="17" t="s">
        <v>18</v>
      </c>
      <c r="H4" s="20">
        <v>0.18</v>
      </c>
      <c r="I4" s="21">
        <v>1</v>
      </c>
      <c r="J4" s="22">
        <v>5</v>
      </c>
      <c r="K4" s="22">
        <v>8</v>
      </c>
      <c r="L4" s="22">
        <v>18</v>
      </c>
      <c r="M4" s="23">
        <v>3500000</v>
      </c>
      <c r="N4" s="18">
        <f>VLOOKUP(A4,Параметры_года!$A$4:$J$6,3,FALSE())*I4</f>
        <v>500000</v>
      </c>
      <c r="O4" s="18">
        <f>N4*VLOOKUP(A4,Параметры_года!$A$4:$J$6,5,FALSE())</f>
        <v>225000</v>
      </c>
      <c r="P4" s="18">
        <f>VLOOKUP(A4,Параметры_года!$A$4:$J$6,4,FALSE())</f>
        <v>250000</v>
      </c>
      <c r="Q4" s="18">
        <f t="shared" ref="Q4:Q35" si="0">(N4*J4)+(O4*K4)+(P4*L4)+M4</f>
        <v>12300000</v>
      </c>
      <c r="R4" s="21">
        <f>VLOOKUP(A4,Параметры_года!$A$4:$J$6,7,FALSE())</f>
        <v>0.32</v>
      </c>
      <c r="S4" s="18">
        <f t="shared" ref="S4:S35" si="1">Q4*(1-R4)</f>
        <v>8363999.9999999991</v>
      </c>
      <c r="T4" s="18">
        <f t="shared" ref="T4:T35" si="2">Q4-S4</f>
        <v>3936000.0000000009</v>
      </c>
      <c r="U4" s="24">
        <f t="shared" ref="U4:U35" si="3">H4*T4</f>
        <v>708480.00000000012</v>
      </c>
      <c r="V4" s="17" t="s">
        <v>143</v>
      </c>
    </row>
    <row r="5" spans="1:22" ht="36.75" customHeight="1" x14ac:dyDescent="0.6">
      <c r="A5" s="17">
        <v>2024</v>
      </c>
      <c r="B5" s="17">
        <v>2</v>
      </c>
      <c r="C5" s="17" t="s">
        <v>19</v>
      </c>
      <c r="D5" s="17" t="s">
        <v>21</v>
      </c>
      <c r="E5" s="17" t="s">
        <v>22</v>
      </c>
      <c r="F5" s="17" t="s">
        <v>23</v>
      </c>
      <c r="G5" s="17" t="s">
        <v>18</v>
      </c>
      <c r="H5" s="20">
        <v>0.18</v>
      </c>
      <c r="I5" s="21">
        <v>1</v>
      </c>
      <c r="J5" s="22">
        <v>5</v>
      </c>
      <c r="K5" s="22">
        <v>8</v>
      </c>
      <c r="L5" s="22">
        <v>18</v>
      </c>
      <c r="M5" s="23">
        <v>3500000</v>
      </c>
      <c r="N5" s="18">
        <f>VLOOKUP(A5,Параметры_года!$A$4:$J$6,3,FALSE())*I5</f>
        <v>500000</v>
      </c>
      <c r="O5" s="18">
        <f>N5*VLOOKUP(A5,Параметры_года!$A$4:$J$6,5,FALSE())</f>
        <v>225000</v>
      </c>
      <c r="P5" s="18">
        <f>VLOOKUP(A5,Параметры_года!$A$4:$J$6,4,FALSE())</f>
        <v>250000</v>
      </c>
      <c r="Q5" s="18">
        <f t="shared" si="0"/>
        <v>12300000</v>
      </c>
      <c r="R5" s="21">
        <f>VLOOKUP(A5,Параметры_года!$A$4:$J$6,7,FALSE())</f>
        <v>0.32</v>
      </c>
      <c r="S5" s="18">
        <f t="shared" si="1"/>
        <v>8363999.9999999991</v>
      </c>
      <c r="T5" s="18">
        <f t="shared" si="2"/>
        <v>3936000.0000000009</v>
      </c>
      <c r="U5" s="24">
        <f t="shared" si="3"/>
        <v>708480.00000000012</v>
      </c>
      <c r="V5" s="17" t="s">
        <v>143</v>
      </c>
    </row>
    <row r="6" spans="1:22" ht="36.75" customHeight="1" x14ac:dyDescent="0.6">
      <c r="A6" s="17">
        <v>2024</v>
      </c>
      <c r="B6" s="17">
        <v>3</v>
      </c>
      <c r="C6" s="17" t="s">
        <v>24</v>
      </c>
      <c r="D6" s="17" t="s">
        <v>26</v>
      </c>
      <c r="E6" s="17" t="s">
        <v>27</v>
      </c>
      <c r="F6" s="17" t="s">
        <v>28</v>
      </c>
      <c r="G6" s="17" t="s">
        <v>29</v>
      </c>
      <c r="H6" s="20">
        <v>0.12</v>
      </c>
      <c r="I6" s="21">
        <v>0.8</v>
      </c>
      <c r="J6" s="22">
        <v>3.5</v>
      </c>
      <c r="K6" s="22">
        <v>5</v>
      </c>
      <c r="L6" s="22">
        <v>12</v>
      </c>
      <c r="M6" s="23">
        <v>1750000</v>
      </c>
      <c r="N6" s="18">
        <f>VLOOKUP(A6,Параметры_года!$A$4:$J$6,3,FALSE())*I6</f>
        <v>400000</v>
      </c>
      <c r="O6" s="18">
        <f>N6*VLOOKUP(A6,Параметры_года!$A$4:$J$6,5,FALSE())</f>
        <v>180000</v>
      </c>
      <c r="P6" s="18">
        <f>VLOOKUP(A6,Параметры_года!$A$4:$J$6,4,FALSE())</f>
        <v>250000</v>
      </c>
      <c r="Q6" s="18">
        <f t="shared" si="0"/>
        <v>7050000</v>
      </c>
      <c r="R6" s="21">
        <f>VLOOKUP(A6,Параметры_года!$A$4:$J$6,7,FALSE())</f>
        <v>0.32</v>
      </c>
      <c r="S6" s="18">
        <f t="shared" si="1"/>
        <v>4794000</v>
      </c>
      <c r="T6" s="18">
        <f t="shared" si="2"/>
        <v>2256000</v>
      </c>
      <c r="U6" s="24">
        <f t="shared" si="3"/>
        <v>270720</v>
      </c>
      <c r="V6" s="17" t="s">
        <v>143</v>
      </c>
    </row>
    <row r="7" spans="1:22" ht="36.75" customHeight="1" x14ac:dyDescent="0.6">
      <c r="A7" s="17">
        <v>2024</v>
      </c>
      <c r="B7" s="17">
        <v>4</v>
      </c>
      <c r="C7" s="17" t="s">
        <v>30</v>
      </c>
      <c r="D7" s="17" t="s">
        <v>32</v>
      </c>
      <c r="E7" s="17" t="s">
        <v>33</v>
      </c>
      <c r="F7" s="17" t="s">
        <v>34</v>
      </c>
      <c r="G7" s="17" t="s">
        <v>29</v>
      </c>
      <c r="H7" s="20">
        <v>0.12</v>
      </c>
      <c r="I7" s="21">
        <v>0.8</v>
      </c>
      <c r="J7" s="22">
        <v>3.5</v>
      </c>
      <c r="K7" s="22">
        <v>5</v>
      </c>
      <c r="L7" s="22">
        <v>12</v>
      </c>
      <c r="M7" s="23">
        <v>1750000</v>
      </c>
      <c r="N7" s="18">
        <f>VLOOKUP(A7,Параметры_года!$A$4:$J$6,3,FALSE())*I7</f>
        <v>400000</v>
      </c>
      <c r="O7" s="18">
        <f>N7*VLOOKUP(A7,Параметры_года!$A$4:$J$6,5,FALSE())</f>
        <v>180000</v>
      </c>
      <c r="P7" s="18">
        <f>VLOOKUP(A7,Параметры_года!$A$4:$J$6,4,FALSE())</f>
        <v>250000</v>
      </c>
      <c r="Q7" s="18">
        <f t="shared" si="0"/>
        <v>7050000</v>
      </c>
      <c r="R7" s="21">
        <f>VLOOKUP(A7,Параметры_года!$A$4:$J$6,7,FALSE())</f>
        <v>0.32</v>
      </c>
      <c r="S7" s="18">
        <f t="shared" si="1"/>
        <v>4794000</v>
      </c>
      <c r="T7" s="18">
        <f t="shared" si="2"/>
        <v>2256000</v>
      </c>
      <c r="U7" s="24">
        <f t="shared" si="3"/>
        <v>270720</v>
      </c>
      <c r="V7" s="17" t="s">
        <v>143</v>
      </c>
    </row>
    <row r="8" spans="1:22" ht="36.75" customHeight="1" x14ac:dyDescent="0.6">
      <c r="A8" s="17">
        <v>2024</v>
      </c>
      <c r="B8" s="17">
        <v>5</v>
      </c>
      <c r="C8" s="17" t="s">
        <v>35</v>
      </c>
      <c r="D8" s="17" t="s">
        <v>37</v>
      </c>
      <c r="E8" s="17" t="s">
        <v>38</v>
      </c>
      <c r="F8" s="17" t="s">
        <v>39</v>
      </c>
      <c r="G8" s="17" t="s">
        <v>18</v>
      </c>
      <c r="H8" s="20">
        <v>0.18</v>
      </c>
      <c r="I8" s="21">
        <v>1</v>
      </c>
      <c r="J8" s="22">
        <v>5</v>
      </c>
      <c r="K8" s="22">
        <v>8</v>
      </c>
      <c r="L8" s="22">
        <v>18</v>
      </c>
      <c r="M8" s="23">
        <v>3500000</v>
      </c>
      <c r="N8" s="18">
        <f>VLOOKUP(A8,Параметры_года!$A$4:$J$6,3,FALSE())*I8</f>
        <v>500000</v>
      </c>
      <c r="O8" s="18">
        <f>N8*VLOOKUP(A8,Параметры_года!$A$4:$J$6,5,FALSE())</f>
        <v>225000</v>
      </c>
      <c r="P8" s="18">
        <f>VLOOKUP(A8,Параметры_года!$A$4:$J$6,4,FALSE())</f>
        <v>250000</v>
      </c>
      <c r="Q8" s="18">
        <f t="shared" si="0"/>
        <v>12300000</v>
      </c>
      <c r="R8" s="21">
        <f>VLOOKUP(A8,Параметры_года!$A$4:$J$6,7,FALSE())</f>
        <v>0.32</v>
      </c>
      <c r="S8" s="18">
        <f t="shared" si="1"/>
        <v>8363999.9999999991</v>
      </c>
      <c r="T8" s="18">
        <f t="shared" si="2"/>
        <v>3936000.0000000009</v>
      </c>
      <c r="U8" s="24">
        <f t="shared" si="3"/>
        <v>708480.00000000012</v>
      </c>
      <c r="V8" s="17" t="s">
        <v>143</v>
      </c>
    </row>
    <row r="9" spans="1:22" ht="36.75" customHeight="1" x14ac:dyDescent="0.6">
      <c r="A9" s="17">
        <v>2024</v>
      </c>
      <c r="B9" s="17">
        <v>6</v>
      </c>
      <c r="C9" s="17" t="s">
        <v>40</v>
      </c>
      <c r="D9" s="17" t="s">
        <v>42</v>
      </c>
      <c r="E9" s="17" t="s">
        <v>43</v>
      </c>
      <c r="F9" s="17" t="s">
        <v>44</v>
      </c>
      <c r="G9" s="17" t="s">
        <v>29</v>
      </c>
      <c r="H9" s="20">
        <v>0.12</v>
      </c>
      <c r="I9" s="21">
        <v>0.8</v>
      </c>
      <c r="J9" s="22">
        <v>3.5</v>
      </c>
      <c r="K9" s="22">
        <v>5</v>
      </c>
      <c r="L9" s="22">
        <v>12</v>
      </c>
      <c r="M9" s="23">
        <v>1750000</v>
      </c>
      <c r="N9" s="18">
        <f>VLOOKUP(A9,Параметры_года!$A$4:$J$6,3,FALSE())*I9</f>
        <v>400000</v>
      </c>
      <c r="O9" s="18">
        <f>N9*VLOOKUP(A9,Параметры_года!$A$4:$J$6,5,FALSE())</f>
        <v>180000</v>
      </c>
      <c r="P9" s="18">
        <f>VLOOKUP(A9,Параметры_года!$A$4:$J$6,4,FALSE())</f>
        <v>250000</v>
      </c>
      <c r="Q9" s="18">
        <f t="shared" si="0"/>
        <v>7050000</v>
      </c>
      <c r="R9" s="21">
        <f>VLOOKUP(A9,Параметры_года!$A$4:$J$6,7,FALSE())</f>
        <v>0.32</v>
      </c>
      <c r="S9" s="18">
        <f t="shared" si="1"/>
        <v>4794000</v>
      </c>
      <c r="T9" s="18">
        <f t="shared" si="2"/>
        <v>2256000</v>
      </c>
      <c r="U9" s="24">
        <f t="shared" si="3"/>
        <v>270720</v>
      </c>
      <c r="V9" s="17" t="s">
        <v>143</v>
      </c>
    </row>
    <row r="10" spans="1:22" ht="36.75" customHeight="1" x14ac:dyDescent="0.6">
      <c r="A10" s="17">
        <v>2024</v>
      </c>
      <c r="B10" s="17">
        <v>7</v>
      </c>
      <c r="C10" s="17" t="s">
        <v>45</v>
      </c>
      <c r="D10" s="17" t="s">
        <v>47</v>
      </c>
      <c r="E10" s="17" t="s">
        <v>48</v>
      </c>
      <c r="F10" s="17" t="s">
        <v>49</v>
      </c>
      <c r="G10" s="17" t="s">
        <v>18</v>
      </c>
      <c r="H10" s="20">
        <v>0.18</v>
      </c>
      <c r="I10" s="21">
        <v>1</v>
      </c>
      <c r="J10" s="22">
        <v>5</v>
      </c>
      <c r="K10" s="22">
        <v>8</v>
      </c>
      <c r="L10" s="22">
        <v>18</v>
      </c>
      <c r="M10" s="23">
        <v>3500000</v>
      </c>
      <c r="N10" s="18">
        <f>VLOOKUP(A10,Параметры_года!$A$4:$J$6,3,FALSE())*I10</f>
        <v>500000</v>
      </c>
      <c r="O10" s="18">
        <f>N10*VLOOKUP(A10,Параметры_года!$A$4:$J$6,5,FALSE())</f>
        <v>225000</v>
      </c>
      <c r="P10" s="18">
        <f>VLOOKUP(A10,Параметры_года!$A$4:$J$6,4,FALSE())</f>
        <v>250000</v>
      </c>
      <c r="Q10" s="18">
        <f t="shared" si="0"/>
        <v>12300000</v>
      </c>
      <c r="R10" s="21">
        <f>VLOOKUP(A10,Параметры_года!$A$4:$J$6,7,FALSE())</f>
        <v>0.32</v>
      </c>
      <c r="S10" s="18">
        <f t="shared" si="1"/>
        <v>8363999.9999999991</v>
      </c>
      <c r="T10" s="18">
        <f t="shared" si="2"/>
        <v>3936000.0000000009</v>
      </c>
      <c r="U10" s="24">
        <f t="shared" si="3"/>
        <v>708480.00000000012</v>
      </c>
      <c r="V10" s="17" t="s">
        <v>143</v>
      </c>
    </row>
    <row r="11" spans="1:22" ht="36.75" customHeight="1" x14ac:dyDescent="0.6">
      <c r="A11" s="17">
        <v>2024</v>
      </c>
      <c r="B11" s="17">
        <v>8</v>
      </c>
      <c r="C11" s="17" t="s">
        <v>50</v>
      </c>
      <c r="D11" s="17" t="s">
        <v>52</v>
      </c>
      <c r="E11" s="17" t="s">
        <v>53</v>
      </c>
      <c r="F11" s="17" t="s">
        <v>54</v>
      </c>
      <c r="G11" s="17" t="s">
        <v>29</v>
      </c>
      <c r="H11" s="20">
        <v>0.12</v>
      </c>
      <c r="I11" s="21">
        <v>0.8</v>
      </c>
      <c r="J11" s="22">
        <v>3.5</v>
      </c>
      <c r="K11" s="22">
        <v>5</v>
      </c>
      <c r="L11" s="22">
        <v>12</v>
      </c>
      <c r="M11" s="23">
        <v>1750000</v>
      </c>
      <c r="N11" s="18">
        <f>VLOOKUP(A11,Параметры_года!$A$4:$J$6,3,FALSE())*I11</f>
        <v>400000</v>
      </c>
      <c r="O11" s="18">
        <f>N11*VLOOKUP(A11,Параметры_года!$A$4:$J$6,5,FALSE())</f>
        <v>180000</v>
      </c>
      <c r="P11" s="18">
        <f>VLOOKUP(A11,Параметры_года!$A$4:$J$6,4,FALSE())</f>
        <v>250000</v>
      </c>
      <c r="Q11" s="18">
        <f t="shared" si="0"/>
        <v>7050000</v>
      </c>
      <c r="R11" s="21">
        <f>VLOOKUP(A11,Параметры_года!$A$4:$J$6,7,FALSE())</f>
        <v>0.32</v>
      </c>
      <c r="S11" s="18">
        <f t="shared" si="1"/>
        <v>4794000</v>
      </c>
      <c r="T11" s="18">
        <f t="shared" si="2"/>
        <v>2256000</v>
      </c>
      <c r="U11" s="24">
        <f t="shared" si="3"/>
        <v>270720</v>
      </c>
      <c r="V11" s="17" t="s">
        <v>143</v>
      </c>
    </row>
    <row r="12" spans="1:22" ht="36.75" customHeight="1" x14ac:dyDescent="0.6">
      <c r="A12" s="17">
        <v>2024</v>
      </c>
      <c r="B12" s="17">
        <v>9</v>
      </c>
      <c r="C12" s="17" t="s">
        <v>55</v>
      </c>
      <c r="D12" s="17" t="s">
        <v>57</v>
      </c>
      <c r="E12" s="17" t="s">
        <v>58</v>
      </c>
      <c r="F12" s="17" t="s">
        <v>59</v>
      </c>
      <c r="G12" s="17" t="s">
        <v>18</v>
      </c>
      <c r="H12" s="20">
        <v>0.18</v>
      </c>
      <c r="I12" s="21">
        <v>1</v>
      </c>
      <c r="J12" s="22">
        <v>5</v>
      </c>
      <c r="K12" s="22">
        <v>8</v>
      </c>
      <c r="L12" s="22">
        <v>18</v>
      </c>
      <c r="M12" s="23">
        <v>3500000</v>
      </c>
      <c r="N12" s="18">
        <f>VLOOKUP(A12,Параметры_года!$A$4:$J$6,3,FALSE())*I12</f>
        <v>500000</v>
      </c>
      <c r="O12" s="18">
        <f>N12*VLOOKUP(A12,Параметры_года!$A$4:$J$6,5,FALSE())</f>
        <v>225000</v>
      </c>
      <c r="P12" s="18">
        <f>VLOOKUP(A12,Параметры_года!$A$4:$J$6,4,FALSE())</f>
        <v>250000</v>
      </c>
      <c r="Q12" s="18">
        <f t="shared" si="0"/>
        <v>12300000</v>
      </c>
      <c r="R12" s="21">
        <f>VLOOKUP(A12,Параметры_года!$A$4:$J$6,7,FALSE())</f>
        <v>0.32</v>
      </c>
      <c r="S12" s="18">
        <f t="shared" si="1"/>
        <v>8363999.9999999991</v>
      </c>
      <c r="T12" s="18">
        <f t="shared" si="2"/>
        <v>3936000.0000000009</v>
      </c>
      <c r="U12" s="24">
        <f t="shared" si="3"/>
        <v>708480.00000000012</v>
      </c>
      <c r="V12" s="17" t="s">
        <v>143</v>
      </c>
    </row>
    <row r="13" spans="1:22" ht="36.75" customHeight="1" x14ac:dyDescent="0.6">
      <c r="A13" s="17">
        <v>2024</v>
      </c>
      <c r="B13" s="17">
        <v>10</v>
      </c>
      <c r="C13" s="17" t="s">
        <v>60</v>
      </c>
      <c r="D13" s="17" t="s">
        <v>62</v>
      </c>
      <c r="E13" s="17" t="s">
        <v>63</v>
      </c>
      <c r="F13" s="17" t="s">
        <v>64</v>
      </c>
      <c r="G13" s="17" t="s">
        <v>65</v>
      </c>
      <c r="H13" s="20">
        <v>7.0000000000000007E-2</v>
      </c>
      <c r="I13" s="21">
        <v>0.6</v>
      </c>
      <c r="J13" s="22">
        <v>2</v>
      </c>
      <c r="K13" s="22">
        <v>3</v>
      </c>
      <c r="L13" s="22">
        <v>7</v>
      </c>
      <c r="M13" s="23">
        <v>750000</v>
      </c>
      <c r="N13" s="18">
        <f>VLOOKUP(A13,Параметры_года!$A$4:$J$6,3,FALSE())*I13</f>
        <v>300000</v>
      </c>
      <c r="O13" s="18">
        <f>N13*VLOOKUP(A13,Параметры_года!$A$4:$J$6,5,FALSE())</f>
        <v>135000</v>
      </c>
      <c r="P13" s="18">
        <f>VLOOKUP(A13,Параметры_года!$A$4:$J$6,4,FALSE())</f>
        <v>250000</v>
      </c>
      <c r="Q13" s="18">
        <f t="shared" si="0"/>
        <v>3505000</v>
      </c>
      <c r="R13" s="21">
        <f>VLOOKUP(A13,Параметры_года!$A$4:$J$6,7,FALSE())</f>
        <v>0.32</v>
      </c>
      <c r="S13" s="18">
        <f t="shared" si="1"/>
        <v>2383400</v>
      </c>
      <c r="T13" s="18">
        <f t="shared" si="2"/>
        <v>1121600</v>
      </c>
      <c r="U13" s="24">
        <f t="shared" si="3"/>
        <v>78512.000000000015</v>
      </c>
      <c r="V13" s="17" t="s">
        <v>143</v>
      </c>
    </row>
    <row r="14" spans="1:22" ht="36.75" customHeight="1" x14ac:dyDescent="0.6">
      <c r="A14" s="17">
        <v>2024</v>
      </c>
      <c r="B14" s="17">
        <v>11</v>
      </c>
      <c r="C14" s="17" t="s">
        <v>66</v>
      </c>
      <c r="D14" s="17" t="s">
        <v>68</v>
      </c>
      <c r="E14" s="17" t="s">
        <v>69</v>
      </c>
      <c r="F14" s="17" t="s">
        <v>70</v>
      </c>
      <c r="G14" s="17" t="s">
        <v>29</v>
      </c>
      <c r="H14" s="20">
        <v>0.12</v>
      </c>
      <c r="I14" s="21">
        <v>0.8</v>
      </c>
      <c r="J14" s="22">
        <v>3.5</v>
      </c>
      <c r="K14" s="22">
        <v>5</v>
      </c>
      <c r="L14" s="22">
        <v>12</v>
      </c>
      <c r="M14" s="23">
        <v>1750000</v>
      </c>
      <c r="N14" s="18">
        <f>VLOOKUP(A14,Параметры_года!$A$4:$J$6,3,FALSE())*I14</f>
        <v>400000</v>
      </c>
      <c r="O14" s="18">
        <f>N14*VLOOKUP(A14,Параметры_года!$A$4:$J$6,5,FALSE())</f>
        <v>180000</v>
      </c>
      <c r="P14" s="18">
        <f>VLOOKUP(A14,Параметры_года!$A$4:$J$6,4,FALSE())</f>
        <v>250000</v>
      </c>
      <c r="Q14" s="18">
        <f t="shared" si="0"/>
        <v>7050000</v>
      </c>
      <c r="R14" s="21">
        <f>VLOOKUP(A14,Параметры_года!$A$4:$J$6,7,FALSE())</f>
        <v>0.32</v>
      </c>
      <c r="S14" s="18">
        <f t="shared" si="1"/>
        <v>4794000</v>
      </c>
      <c r="T14" s="18">
        <f t="shared" si="2"/>
        <v>2256000</v>
      </c>
      <c r="U14" s="24">
        <f t="shared" si="3"/>
        <v>270720</v>
      </c>
      <c r="V14" s="17" t="s">
        <v>143</v>
      </c>
    </row>
    <row r="15" spans="1:22" ht="36.75" customHeight="1" x14ac:dyDescent="0.6">
      <c r="A15" s="17">
        <v>2024</v>
      </c>
      <c r="B15" s="17">
        <v>12</v>
      </c>
      <c r="C15" s="17" t="s">
        <v>71</v>
      </c>
      <c r="D15" s="17" t="s">
        <v>73</v>
      </c>
      <c r="E15" s="17" t="s">
        <v>74</v>
      </c>
      <c r="F15" s="17" t="s">
        <v>75</v>
      </c>
      <c r="G15" s="17" t="s">
        <v>29</v>
      </c>
      <c r="H15" s="20">
        <v>0.12</v>
      </c>
      <c r="I15" s="21">
        <v>0.8</v>
      </c>
      <c r="J15" s="22">
        <v>3.5</v>
      </c>
      <c r="K15" s="22">
        <v>5</v>
      </c>
      <c r="L15" s="22">
        <v>12</v>
      </c>
      <c r="M15" s="23">
        <v>1750000</v>
      </c>
      <c r="N15" s="18">
        <f>VLOOKUP(A15,Параметры_года!$A$4:$J$6,3,FALSE())*I15</f>
        <v>400000</v>
      </c>
      <c r="O15" s="18">
        <f>N15*VLOOKUP(A15,Параметры_года!$A$4:$J$6,5,FALSE())</f>
        <v>180000</v>
      </c>
      <c r="P15" s="18">
        <f>VLOOKUP(A15,Параметры_года!$A$4:$J$6,4,FALSE())</f>
        <v>250000</v>
      </c>
      <c r="Q15" s="18">
        <f t="shared" si="0"/>
        <v>7050000</v>
      </c>
      <c r="R15" s="21">
        <f>VLOOKUP(A15,Параметры_года!$A$4:$J$6,7,FALSE())</f>
        <v>0.32</v>
      </c>
      <c r="S15" s="18">
        <f t="shared" si="1"/>
        <v>4794000</v>
      </c>
      <c r="T15" s="18">
        <f t="shared" si="2"/>
        <v>2256000</v>
      </c>
      <c r="U15" s="24">
        <f t="shared" si="3"/>
        <v>270720</v>
      </c>
      <c r="V15" s="17" t="s">
        <v>143</v>
      </c>
    </row>
    <row r="16" spans="1:22" ht="36.75" customHeight="1" x14ac:dyDescent="0.6">
      <c r="A16" s="17">
        <v>2024</v>
      </c>
      <c r="B16" s="17">
        <v>13</v>
      </c>
      <c r="C16" s="17" t="s">
        <v>76</v>
      </c>
      <c r="D16" s="17" t="s">
        <v>78</v>
      </c>
      <c r="E16" s="17" t="s">
        <v>79</v>
      </c>
      <c r="F16" s="17" t="s">
        <v>80</v>
      </c>
      <c r="G16" s="17" t="s">
        <v>65</v>
      </c>
      <c r="H16" s="20">
        <v>7.0000000000000007E-2</v>
      </c>
      <c r="I16" s="21">
        <v>0.6</v>
      </c>
      <c r="J16" s="22">
        <v>2</v>
      </c>
      <c r="K16" s="22">
        <v>3</v>
      </c>
      <c r="L16" s="22">
        <v>7</v>
      </c>
      <c r="M16" s="23">
        <v>750000</v>
      </c>
      <c r="N16" s="18">
        <f>VLOOKUP(A16,Параметры_года!$A$4:$J$6,3,FALSE())*I16</f>
        <v>300000</v>
      </c>
      <c r="O16" s="18">
        <f>N16*VLOOKUP(A16,Параметры_года!$A$4:$J$6,5,FALSE())</f>
        <v>135000</v>
      </c>
      <c r="P16" s="18">
        <f>VLOOKUP(A16,Параметры_года!$A$4:$J$6,4,FALSE())</f>
        <v>250000</v>
      </c>
      <c r="Q16" s="18">
        <f t="shared" si="0"/>
        <v>3505000</v>
      </c>
      <c r="R16" s="21">
        <f>VLOOKUP(A16,Параметры_года!$A$4:$J$6,7,FALSE())</f>
        <v>0.32</v>
      </c>
      <c r="S16" s="18">
        <f t="shared" si="1"/>
        <v>2383400</v>
      </c>
      <c r="T16" s="18">
        <f t="shared" si="2"/>
        <v>1121600</v>
      </c>
      <c r="U16" s="24">
        <f t="shared" si="3"/>
        <v>78512.000000000015</v>
      </c>
      <c r="V16" s="17" t="s">
        <v>143</v>
      </c>
    </row>
    <row r="17" spans="1:22" ht="36.75" customHeight="1" x14ac:dyDescent="0.6">
      <c r="A17" s="17">
        <v>2024</v>
      </c>
      <c r="B17" s="17">
        <v>14</v>
      </c>
      <c r="C17" s="17" t="s">
        <v>81</v>
      </c>
      <c r="D17" s="17" t="s">
        <v>83</v>
      </c>
      <c r="E17" s="17" t="s">
        <v>84</v>
      </c>
      <c r="F17" s="17" t="s">
        <v>85</v>
      </c>
      <c r="G17" s="17" t="s">
        <v>65</v>
      </c>
      <c r="H17" s="20">
        <v>7.0000000000000007E-2</v>
      </c>
      <c r="I17" s="21">
        <v>0.6</v>
      </c>
      <c r="J17" s="22">
        <v>2</v>
      </c>
      <c r="K17" s="22">
        <v>3</v>
      </c>
      <c r="L17" s="22">
        <v>7</v>
      </c>
      <c r="M17" s="23">
        <v>750000</v>
      </c>
      <c r="N17" s="18">
        <f>VLOOKUP(A17,Параметры_года!$A$4:$J$6,3,FALSE())*I17</f>
        <v>300000</v>
      </c>
      <c r="O17" s="18">
        <f>N17*VLOOKUP(A17,Параметры_года!$A$4:$J$6,5,FALSE())</f>
        <v>135000</v>
      </c>
      <c r="P17" s="18">
        <f>VLOOKUP(A17,Параметры_года!$A$4:$J$6,4,FALSE())</f>
        <v>250000</v>
      </c>
      <c r="Q17" s="18">
        <f t="shared" si="0"/>
        <v>3505000</v>
      </c>
      <c r="R17" s="21">
        <f>VLOOKUP(A17,Параметры_года!$A$4:$J$6,7,FALSE())</f>
        <v>0.32</v>
      </c>
      <c r="S17" s="18">
        <f t="shared" si="1"/>
        <v>2383400</v>
      </c>
      <c r="T17" s="18">
        <f t="shared" si="2"/>
        <v>1121600</v>
      </c>
      <c r="U17" s="24">
        <f t="shared" si="3"/>
        <v>78512.000000000015</v>
      </c>
      <c r="V17" s="17" t="s">
        <v>143</v>
      </c>
    </row>
    <row r="18" spans="1:22" ht="36.75" customHeight="1" x14ac:dyDescent="0.6">
      <c r="A18" s="17">
        <v>2024</v>
      </c>
      <c r="B18" s="17">
        <v>15</v>
      </c>
      <c r="C18" s="17" t="s">
        <v>86</v>
      </c>
      <c r="D18" s="17" t="s">
        <v>88</v>
      </c>
      <c r="E18" s="17" t="s">
        <v>89</v>
      </c>
      <c r="F18" s="17" t="s">
        <v>90</v>
      </c>
      <c r="G18" s="17" t="s">
        <v>29</v>
      </c>
      <c r="H18" s="20">
        <v>0.12</v>
      </c>
      <c r="I18" s="21">
        <v>0.8</v>
      </c>
      <c r="J18" s="22">
        <v>3.5</v>
      </c>
      <c r="K18" s="22">
        <v>5</v>
      </c>
      <c r="L18" s="22">
        <v>12</v>
      </c>
      <c r="M18" s="23">
        <v>1750000</v>
      </c>
      <c r="N18" s="18">
        <f>VLOOKUP(A18,Параметры_года!$A$4:$J$6,3,FALSE())*I18</f>
        <v>400000</v>
      </c>
      <c r="O18" s="18">
        <f>N18*VLOOKUP(A18,Параметры_года!$A$4:$J$6,5,FALSE())</f>
        <v>180000</v>
      </c>
      <c r="P18" s="18">
        <f>VLOOKUP(A18,Параметры_года!$A$4:$J$6,4,FALSE())</f>
        <v>250000</v>
      </c>
      <c r="Q18" s="18">
        <f t="shared" si="0"/>
        <v>7050000</v>
      </c>
      <c r="R18" s="21">
        <f>VLOOKUP(A18,Параметры_года!$A$4:$J$6,7,FALSE())</f>
        <v>0.32</v>
      </c>
      <c r="S18" s="18">
        <f t="shared" si="1"/>
        <v>4794000</v>
      </c>
      <c r="T18" s="18">
        <f t="shared" si="2"/>
        <v>2256000</v>
      </c>
      <c r="U18" s="24">
        <f t="shared" si="3"/>
        <v>270720</v>
      </c>
      <c r="V18" s="17" t="s">
        <v>143</v>
      </c>
    </row>
    <row r="19" spans="1:22" ht="36.75" customHeight="1" x14ac:dyDescent="0.6">
      <c r="A19" s="17">
        <v>2024</v>
      </c>
      <c r="B19" s="17">
        <v>16</v>
      </c>
      <c r="C19" s="17" t="s">
        <v>91</v>
      </c>
      <c r="D19" s="17" t="s">
        <v>93</v>
      </c>
      <c r="E19" s="17" t="s">
        <v>94</v>
      </c>
      <c r="F19" s="17" t="s">
        <v>95</v>
      </c>
      <c r="G19" s="17" t="s">
        <v>18</v>
      </c>
      <c r="H19" s="20">
        <v>0.18</v>
      </c>
      <c r="I19" s="21">
        <v>1</v>
      </c>
      <c r="J19" s="22">
        <v>5</v>
      </c>
      <c r="K19" s="22">
        <v>8</v>
      </c>
      <c r="L19" s="22">
        <v>18</v>
      </c>
      <c r="M19" s="23">
        <v>3500000</v>
      </c>
      <c r="N19" s="18">
        <f>VLOOKUP(A19,Параметры_года!$A$4:$J$6,3,FALSE())*I19</f>
        <v>500000</v>
      </c>
      <c r="O19" s="18">
        <f>N19*VLOOKUP(A19,Параметры_года!$A$4:$J$6,5,FALSE())</f>
        <v>225000</v>
      </c>
      <c r="P19" s="18">
        <f>VLOOKUP(A19,Параметры_года!$A$4:$J$6,4,FALSE())</f>
        <v>250000</v>
      </c>
      <c r="Q19" s="18">
        <f t="shared" si="0"/>
        <v>12300000</v>
      </c>
      <c r="R19" s="21">
        <f>VLOOKUP(A19,Параметры_года!$A$4:$J$6,7,FALSE())</f>
        <v>0.32</v>
      </c>
      <c r="S19" s="18">
        <f t="shared" si="1"/>
        <v>8363999.9999999991</v>
      </c>
      <c r="T19" s="18">
        <f t="shared" si="2"/>
        <v>3936000.0000000009</v>
      </c>
      <c r="U19" s="24">
        <f t="shared" si="3"/>
        <v>708480.00000000012</v>
      </c>
      <c r="V19" s="17" t="s">
        <v>143</v>
      </c>
    </row>
    <row r="20" spans="1:22" ht="36.75" customHeight="1" x14ac:dyDescent="0.6">
      <c r="A20" s="17">
        <v>2025</v>
      </c>
      <c r="B20" s="17">
        <v>1</v>
      </c>
      <c r="C20" s="17" t="s">
        <v>13</v>
      </c>
      <c r="D20" s="17" t="s">
        <v>15</v>
      </c>
      <c r="E20" s="17" t="s">
        <v>16</v>
      </c>
      <c r="F20" s="17" t="s">
        <v>17</v>
      </c>
      <c r="G20" s="17" t="s">
        <v>18</v>
      </c>
      <c r="H20" s="20">
        <v>0.19439999999999999</v>
      </c>
      <c r="I20" s="21">
        <v>1</v>
      </c>
      <c r="J20" s="22">
        <v>5.4</v>
      </c>
      <c r="K20" s="22">
        <v>8.64</v>
      </c>
      <c r="L20" s="22">
        <v>19.440000000000001</v>
      </c>
      <c r="M20" s="23">
        <v>3780000</v>
      </c>
      <c r="N20" s="18">
        <f>VLOOKUP(A20,Параметры_года!$A$4:$J$6,3,FALSE())*I20</f>
        <v>550000</v>
      </c>
      <c r="O20" s="18">
        <f>N20*VLOOKUP(A20,Параметры_года!$A$4:$J$6,5,FALSE())</f>
        <v>253000</v>
      </c>
      <c r="P20" s="18">
        <f>VLOOKUP(A20,Параметры_года!$A$4:$J$6,4,FALSE())</f>
        <v>275000</v>
      </c>
      <c r="Q20" s="18">
        <f t="shared" si="0"/>
        <v>14281920</v>
      </c>
      <c r="R20" s="21">
        <f>VLOOKUP(A20,Параметры_года!$A$4:$J$6,7,FALSE())</f>
        <v>0.35</v>
      </c>
      <c r="S20" s="18">
        <f t="shared" si="1"/>
        <v>9283248</v>
      </c>
      <c r="T20" s="18">
        <f t="shared" si="2"/>
        <v>4998672</v>
      </c>
      <c r="U20" s="24">
        <f t="shared" si="3"/>
        <v>971741.83679999993</v>
      </c>
      <c r="V20" s="17" t="s">
        <v>143</v>
      </c>
    </row>
    <row r="21" spans="1:22" ht="36.75" customHeight="1" x14ac:dyDescent="0.6">
      <c r="A21" s="17">
        <v>2025</v>
      </c>
      <c r="B21" s="17">
        <v>2</v>
      </c>
      <c r="C21" s="17" t="s">
        <v>19</v>
      </c>
      <c r="D21" s="17" t="s">
        <v>21</v>
      </c>
      <c r="E21" s="17" t="s">
        <v>22</v>
      </c>
      <c r="F21" s="17" t="s">
        <v>23</v>
      </c>
      <c r="G21" s="17" t="s">
        <v>18</v>
      </c>
      <c r="H21" s="20">
        <v>0.19439999999999999</v>
      </c>
      <c r="I21" s="21">
        <v>1</v>
      </c>
      <c r="J21" s="22">
        <v>5.4</v>
      </c>
      <c r="K21" s="22">
        <v>8.64</v>
      </c>
      <c r="L21" s="22">
        <v>19.440000000000001</v>
      </c>
      <c r="M21" s="23">
        <v>3780000</v>
      </c>
      <c r="N21" s="18">
        <f>VLOOKUP(A21,Параметры_года!$A$4:$J$6,3,FALSE())*I21</f>
        <v>550000</v>
      </c>
      <c r="O21" s="18">
        <f>N21*VLOOKUP(A21,Параметры_года!$A$4:$J$6,5,FALSE())</f>
        <v>253000</v>
      </c>
      <c r="P21" s="18">
        <f>VLOOKUP(A21,Параметры_года!$A$4:$J$6,4,FALSE())</f>
        <v>275000</v>
      </c>
      <c r="Q21" s="18">
        <f t="shared" si="0"/>
        <v>14281920</v>
      </c>
      <c r="R21" s="21">
        <f>VLOOKUP(A21,Параметры_года!$A$4:$J$6,7,FALSE())</f>
        <v>0.35</v>
      </c>
      <c r="S21" s="18">
        <f t="shared" si="1"/>
        <v>9283248</v>
      </c>
      <c r="T21" s="18">
        <f t="shared" si="2"/>
        <v>4998672</v>
      </c>
      <c r="U21" s="24">
        <f t="shared" si="3"/>
        <v>971741.83679999993</v>
      </c>
      <c r="V21" s="17" t="s">
        <v>143</v>
      </c>
    </row>
    <row r="22" spans="1:22" ht="36.75" customHeight="1" x14ac:dyDescent="0.6">
      <c r="A22" s="17">
        <v>2025</v>
      </c>
      <c r="B22" s="17">
        <v>3</v>
      </c>
      <c r="C22" s="17" t="s">
        <v>24</v>
      </c>
      <c r="D22" s="17" t="s">
        <v>26</v>
      </c>
      <c r="E22" s="17" t="s">
        <v>27</v>
      </c>
      <c r="F22" s="17" t="s">
        <v>28</v>
      </c>
      <c r="G22" s="17" t="s">
        <v>29</v>
      </c>
      <c r="H22" s="20">
        <v>0.12959999999999999</v>
      </c>
      <c r="I22" s="21">
        <v>0.8</v>
      </c>
      <c r="J22" s="22">
        <v>3.78</v>
      </c>
      <c r="K22" s="22">
        <v>5.4</v>
      </c>
      <c r="L22" s="22">
        <v>12.96</v>
      </c>
      <c r="M22" s="23">
        <v>1890000</v>
      </c>
      <c r="N22" s="18">
        <f>VLOOKUP(A22,Параметры_года!$A$4:$J$6,3,FALSE())*I22</f>
        <v>440000</v>
      </c>
      <c r="O22" s="18">
        <f>N22*VLOOKUP(A22,Параметры_года!$A$4:$J$6,5,FALSE())</f>
        <v>202400</v>
      </c>
      <c r="P22" s="18">
        <f>VLOOKUP(A22,Параметры_года!$A$4:$J$6,4,FALSE())</f>
        <v>275000</v>
      </c>
      <c r="Q22" s="18">
        <f t="shared" si="0"/>
        <v>8210160</v>
      </c>
      <c r="R22" s="21">
        <f>VLOOKUP(A22,Параметры_года!$A$4:$J$6,7,FALSE())</f>
        <v>0.35</v>
      </c>
      <c r="S22" s="18">
        <f t="shared" si="1"/>
        <v>5336604</v>
      </c>
      <c r="T22" s="18">
        <f t="shared" si="2"/>
        <v>2873556</v>
      </c>
      <c r="U22" s="24">
        <f t="shared" si="3"/>
        <v>372412.85759999999</v>
      </c>
      <c r="V22" s="17" t="s">
        <v>143</v>
      </c>
    </row>
    <row r="23" spans="1:22" ht="36.75" customHeight="1" x14ac:dyDescent="0.6">
      <c r="A23" s="17">
        <v>2025</v>
      </c>
      <c r="B23" s="17">
        <v>4</v>
      </c>
      <c r="C23" s="17" t="s">
        <v>30</v>
      </c>
      <c r="D23" s="17" t="s">
        <v>32</v>
      </c>
      <c r="E23" s="17" t="s">
        <v>33</v>
      </c>
      <c r="F23" s="17" t="s">
        <v>34</v>
      </c>
      <c r="G23" s="17" t="s">
        <v>29</v>
      </c>
      <c r="H23" s="20">
        <v>0.12959999999999999</v>
      </c>
      <c r="I23" s="21">
        <v>0.8</v>
      </c>
      <c r="J23" s="22">
        <v>3.78</v>
      </c>
      <c r="K23" s="22">
        <v>5.4</v>
      </c>
      <c r="L23" s="22">
        <v>12.96</v>
      </c>
      <c r="M23" s="23">
        <v>1890000</v>
      </c>
      <c r="N23" s="18">
        <f>VLOOKUP(A23,Параметры_года!$A$4:$J$6,3,FALSE())*I23</f>
        <v>440000</v>
      </c>
      <c r="O23" s="18">
        <f>N23*VLOOKUP(A23,Параметры_года!$A$4:$J$6,5,FALSE())</f>
        <v>202400</v>
      </c>
      <c r="P23" s="18">
        <f>VLOOKUP(A23,Параметры_года!$A$4:$J$6,4,FALSE())</f>
        <v>275000</v>
      </c>
      <c r="Q23" s="18">
        <f t="shared" si="0"/>
        <v>8210160</v>
      </c>
      <c r="R23" s="21">
        <f>VLOOKUP(A23,Параметры_года!$A$4:$J$6,7,FALSE())</f>
        <v>0.35</v>
      </c>
      <c r="S23" s="18">
        <f t="shared" si="1"/>
        <v>5336604</v>
      </c>
      <c r="T23" s="18">
        <f t="shared" si="2"/>
        <v>2873556</v>
      </c>
      <c r="U23" s="24">
        <f t="shared" si="3"/>
        <v>372412.85759999999</v>
      </c>
      <c r="V23" s="17" t="s">
        <v>143</v>
      </c>
    </row>
    <row r="24" spans="1:22" ht="36.75" customHeight="1" x14ac:dyDescent="0.6">
      <c r="A24" s="17">
        <v>2025</v>
      </c>
      <c r="B24" s="17">
        <v>5</v>
      </c>
      <c r="C24" s="17" t="s">
        <v>35</v>
      </c>
      <c r="D24" s="17" t="s">
        <v>37</v>
      </c>
      <c r="E24" s="17" t="s">
        <v>38</v>
      </c>
      <c r="F24" s="17" t="s">
        <v>39</v>
      </c>
      <c r="G24" s="17" t="s">
        <v>18</v>
      </c>
      <c r="H24" s="20">
        <v>0.19439999999999999</v>
      </c>
      <c r="I24" s="21">
        <v>1</v>
      </c>
      <c r="J24" s="22">
        <v>5.4</v>
      </c>
      <c r="K24" s="22">
        <v>8.64</v>
      </c>
      <c r="L24" s="22">
        <v>19.440000000000001</v>
      </c>
      <c r="M24" s="23">
        <v>3780000</v>
      </c>
      <c r="N24" s="18">
        <f>VLOOKUP(A24,Параметры_года!$A$4:$J$6,3,FALSE())*I24</f>
        <v>550000</v>
      </c>
      <c r="O24" s="18">
        <f>N24*VLOOKUP(A24,Параметры_года!$A$4:$J$6,5,FALSE())</f>
        <v>253000</v>
      </c>
      <c r="P24" s="18">
        <f>VLOOKUP(A24,Параметры_года!$A$4:$J$6,4,FALSE())</f>
        <v>275000</v>
      </c>
      <c r="Q24" s="18">
        <f t="shared" si="0"/>
        <v>14281920</v>
      </c>
      <c r="R24" s="21">
        <f>VLOOKUP(A24,Параметры_года!$A$4:$J$6,7,FALSE())</f>
        <v>0.35</v>
      </c>
      <c r="S24" s="18">
        <f t="shared" si="1"/>
        <v>9283248</v>
      </c>
      <c r="T24" s="18">
        <f t="shared" si="2"/>
        <v>4998672</v>
      </c>
      <c r="U24" s="24">
        <f t="shared" si="3"/>
        <v>971741.83679999993</v>
      </c>
      <c r="V24" s="17" t="s">
        <v>143</v>
      </c>
    </row>
    <row r="25" spans="1:22" ht="36.75" customHeight="1" x14ac:dyDescent="0.6">
      <c r="A25" s="17">
        <v>2025</v>
      </c>
      <c r="B25" s="17">
        <v>6</v>
      </c>
      <c r="C25" s="17" t="s">
        <v>40</v>
      </c>
      <c r="D25" s="17" t="s">
        <v>42</v>
      </c>
      <c r="E25" s="17" t="s">
        <v>43</v>
      </c>
      <c r="F25" s="17" t="s">
        <v>44</v>
      </c>
      <c r="G25" s="17" t="s">
        <v>29</v>
      </c>
      <c r="H25" s="20">
        <v>0.12959999999999999</v>
      </c>
      <c r="I25" s="21">
        <v>0.8</v>
      </c>
      <c r="J25" s="22">
        <v>3.78</v>
      </c>
      <c r="K25" s="22">
        <v>5.4</v>
      </c>
      <c r="L25" s="22">
        <v>12.96</v>
      </c>
      <c r="M25" s="23">
        <v>1890000</v>
      </c>
      <c r="N25" s="18">
        <f>VLOOKUP(A25,Параметры_года!$A$4:$J$6,3,FALSE())*I25</f>
        <v>440000</v>
      </c>
      <c r="O25" s="18">
        <f>N25*VLOOKUP(A25,Параметры_года!$A$4:$J$6,5,FALSE())</f>
        <v>202400</v>
      </c>
      <c r="P25" s="18">
        <f>VLOOKUP(A25,Параметры_года!$A$4:$J$6,4,FALSE())</f>
        <v>275000</v>
      </c>
      <c r="Q25" s="18">
        <f t="shared" si="0"/>
        <v>8210160</v>
      </c>
      <c r="R25" s="21">
        <f>VLOOKUP(A25,Параметры_года!$A$4:$J$6,7,FALSE())</f>
        <v>0.35</v>
      </c>
      <c r="S25" s="18">
        <f t="shared" si="1"/>
        <v>5336604</v>
      </c>
      <c r="T25" s="18">
        <f t="shared" si="2"/>
        <v>2873556</v>
      </c>
      <c r="U25" s="24">
        <f t="shared" si="3"/>
        <v>372412.85759999999</v>
      </c>
      <c r="V25" s="17" t="s">
        <v>143</v>
      </c>
    </row>
    <row r="26" spans="1:22" ht="36.75" customHeight="1" x14ac:dyDescent="0.6">
      <c r="A26" s="17">
        <v>2025</v>
      </c>
      <c r="B26" s="17">
        <v>7</v>
      </c>
      <c r="C26" s="17" t="s">
        <v>45</v>
      </c>
      <c r="D26" s="17" t="s">
        <v>47</v>
      </c>
      <c r="E26" s="17" t="s">
        <v>48</v>
      </c>
      <c r="F26" s="17" t="s">
        <v>49</v>
      </c>
      <c r="G26" s="17" t="s">
        <v>18</v>
      </c>
      <c r="H26" s="20">
        <v>0.19439999999999999</v>
      </c>
      <c r="I26" s="21">
        <v>1</v>
      </c>
      <c r="J26" s="22">
        <v>5.4</v>
      </c>
      <c r="K26" s="22">
        <v>8.64</v>
      </c>
      <c r="L26" s="22">
        <v>19.440000000000001</v>
      </c>
      <c r="M26" s="23">
        <v>3780000</v>
      </c>
      <c r="N26" s="18">
        <f>VLOOKUP(A26,Параметры_года!$A$4:$J$6,3,FALSE())*I26</f>
        <v>550000</v>
      </c>
      <c r="O26" s="18">
        <f>N26*VLOOKUP(A26,Параметры_года!$A$4:$J$6,5,FALSE())</f>
        <v>253000</v>
      </c>
      <c r="P26" s="18">
        <f>VLOOKUP(A26,Параметры_года!$A$4:$J$6,4,FALSE())</f>
        <v>275000</v>
      </c>
      <c r="Q26" s="18">
        <f t="shared" si="0"/>
        <v>14281920</v>
      </c>
      <c r="R26" s="21">
        <f>VLOOKUP(A26,Параметры_года!$A$4:$J$6,7,FALSE())</f>
        <v>0.35</v>
      </c>
      <c r="S26" s="18">
        <f t="shared" si="1"/>
        <v>9283248</v>
      </c>
      <c r="T26" s="18">
        <f t="shared" si="2"/>
        <v>4998672</v>
      </c>
      <c r="U26" s="24">
        <f t="shared" si="3"/>
        <v>971741.83679999993</v>
      </c>
      <c r="V26" s="17" t="s">
        <v>143</v>
      </c>
    </row>
    <row r="27" spans="1:22" ht="36.75" customHeight="1" x14ac:dyDescent="0.6">
      <c r="A27" s="17">
        <v>2025</v>
      </c>
      <c r="B27" s="17">
        <v>8</v>
      </c>
      <c r="C27" s="17" t="s">
        <v>50</v>
      </c>
      <c r="D27" s="17" t="s">
        <v>52</v>
      </c>
      <c r="E27" s="17" t="s">
        <v>53</v>
      </c>
      <c r="F27" s="17" t="s">
        <v>54</v>
      </c>
      <c r="G27" s="17" t="s">
        <v>29</v>
      </c>
      <c r="H27" s="20">
        <v>0.12959999999999999</v>
      </c>
      <c r="I27" s="21">
        <v>0.8</v>
      </c>
      <c r="J27" s="22">
        <v>3.78</v>
      </c>
      <c r="K27" s="22">
        <v>5.4</v>
      </c>
      <c r="L27" s="22">
        <v>12.96</v>
      </c>
      <c r="M27" s="23">
        <v>1890000</v>
      </c>
      <c r="N27" s="18">
        <f>VLOOKUP(A27,Параметры_года!$A$4:$J$6,3,FALSE())*I27</f>
        <v>440000</v>
      </c>
      <c r="O27" s="18">
        <f>N27*VLOOKUP(A27,Параметры_года!$A$4:$J$6,5,FALSE())</f>
        <v>202400</v>
      </c>
      <c r="P27" s="18">
        <f>VLOOKUP(A27,Параметры_года!$A$4:$J$6,4,FALSE())</f>
        <v>275000</v>
      </c>
      <c r="Q27" s="18">
        <f t="shared" si="0"/>
        <v>8210160</v>
      </c>
      <c r="R27" s="21">
        <f>VLOOKUP(A27,Параметры_года!$A$4:$J$6,7,FALSE())</f>
        <v>0.35</v>
      </c>
      <c r="S27" s="18">
        <f t="shared" si="1"/>
        <v>5336604</v>
      </c>
      <c r="T27" s="18">
        <f t="shared" si="2"/>
        <v>2873556</v>
      </c>
      <c r="U27" s="24">
        <f t="shared" si="3"/>
        <v>372412.85759999999</v>
      </c>
      <c r="V27" s="17" t="s">
        <v>143</v>
      </c>
    </row>
    <row r="28" spans="1:22" ht="36.75" customHeight="1" x14ac:dyDescent="0.6">
      <c r="A28" s="17">
        <v>2025</v>
      </c>
      <c r="B28" s="17">
        <v>9</v>
      </c>
      <c r="C28" s="17" t="s">
        <v>55</v>
      </c>
      <c r="D28" s="17" t="s">
        <v>57</v>
      </c>
      <c r="E28" s="17" t="s">
        <v>58</v>
      </c>
      <c r="F28" s="17" t="s">
        <v>59</v>
      </c>
      <c r="G28" s="17" t="s">
        <v>18</v>
      </c>
      <c r="H28" s="20">
        <v>0.19439999999999999</v>
      </c>
      <c r="I28" s="21">
        <v>1</v>
      </c>
      <c r="J28" s="22">
        <v>5.4</v>
      </c>
      <c r="K28" s="22">
        <v>8.64</v>
      </c>
      <c r="L28" s="22">
        <v>19.440000000000001</v>
      </c>
      <c r="M28" s="23">
        <v>3780000</v>
      </c>
      <c r="N28" s="18">
        <f>VLOOKUP(A28,Параметры_года!$A$4:$J$6,3,FALSE())*I28</f>
        <v>550000</v>
      </c>
      <c r="O28" s="18">
        <f>N28*VLOOKUP(A28,Параметры_года!$A$4:$J$6,5,FALSE())</f>
        <v>253000</v>
      </c>
      <c r="P28" s="18">
        <f>VLOOKUP(A28,Параметры_года!$A$4:$J$6,4,FALSE())</f>
        <v>275000</v>
      </c>
      <c r="Q28" s="18">
        <f t="shared" si="0"/>
        <v>14281920</v>
      </c>
      <c r="R28" s="21">
        <f>VLOOKUP(A28,Параметры_года!$A$4:$J$6,7,FALSE())</f>
        <v>0.35</v>
      </c>
      <c r="S28" s="18">
        <f t="shared" si="1"/>
        <v>9283248</v>
      </c>
      <c r="T28" s="18">
        <f t="shared" si="2"/>
        <v>4998672</v>
      </c>
      <c r="U28" s="24">
        <f t="shared" si="3"/>
        <v>971741.83679999993</v>
      </c>
      <c r="V28" s="17" t="s">
        <v>143</v>
      </c>
    </row>
    <row r="29" spans="1:22" ht="36.75" customHeight="1" x14ac:dyDescent="0.6">
      <c r="A29" s="17">
        <v>2025</v>
      </c>
      <c r="B29" s="17">
        <v>10</v>
      </c>
      <c r="C29" s="17" t="s">
        <v>60</v>
      </c>
      <c r="D29" s="17" t="s">
        <v>62</v>
      </c>
      <c r="E29" s="17" t="s">
        <v>63</v>
      </c>
      <c r="F29" s="17" t="s">
        <v>64</v>
      </c>
      <c r="G29" s="17" t="s">
        <v>65</v>
      </c>
      <c r="H29" s="20">
        <v>7.5600000000000001E-2</v>
      </c>
      <c r="I29" s="21">
        <v>0.6</v>
      </c>
      <c r="J29" s="22">
        <v>2.16</v>
      </c>
      <c r="K29" s="22">
        <v>3.24</v>
      </c>
      <c r="L29" s="22">
        <v>7.56</v>
      </c>
      <c r="M29" s="23">
        <v>810000</v>
      </c>
      <c r="N29" s="18">
        <f>VLOOKUP(A29,Параметры_года!$A$4:$J$6,3,FALSE())*I29</f>
        <v>330000</v>
      </c>
      <c r="O29" s="18">
        <f>N29*VLOOKUP(A29,Параметры_года!$A$4:$J$6,5,FALSE())</f>
        <v>151800</v>
      </c>
      <c r="P29" s="18">
        <f>VLOOKUP(A29,Параметры_года!$A$4:$J$6,4,FALSE())</f>
        <v>275000</v>
      </c>
      <c r="Q29" s="18">
        <f t="shared" si="0"/>
        <v>4093632</v>
      </c>
      <c r="R29" s="21">
        <f>VLOOKUP(A29,Параметры_года!$A$4:$J$6,7,FALSE())</f>
        <v>0.35</v>
      </c>
      <c r="S29" s="18">
        <f t="shared" si="1"/>
        <v>2660860.8000000003</v>
      </c>
      <c r="T29" s="18">
        <f t="shared" si="2"/>
        <v>1432771.1999999997</v>
      </c>
      <c r="U29" s="24">
        <f t="shared" si="3"/>
        <v>108317.50271999997</v>
      </c>
      <c r="V29" s="17" t="s">
        <v>143</v>
      </c>
    </row>
    <row r="30" spans="1:22" ht="36.75" customHeight="1" x14ac:dyDescent="0.6">
      <c r="A30" s="17">
        <v>2025</v>
      </c>
      <c r="B30" s="17">
        <v>11</v>
      </c>
      <c r="C30" s="17" t="s">
        <v>66</v>
      </c>
      <c r="D30" s="17" t="s">
        <v>68</v>
      </c>
      <c r="E30" s="17" t="s">
        <v>69</v>
      </c>
      <c r="F30" s="17" t="s">
        <v>70</v>
      </c>
      <c r="G30" s="17" t="s">
        <v>29</v>
      </c>
      <c r="H30" s="20">
        <v>0.12959999999999999</v>
      </c>
      <c r="I30" s="21">
        <v>0.8</v>
      </c>
      <c r="J30" s="22">
        <v>3.78</v>
      </c>
      <c r="K30" s="22">
        <v>5.4</v>
      </c>
      <c r="L30" s="22">
        <v>12.96</v>
      </c>
      <c r="M30" s="23">
        <v>1890000</v>
      </c>
      <c r="N30" s="18">
        <f>VLOOKUP(A30,Параметры_года!$A$4:$J$6,3,FALSE())*I30</f>
        <v>440000</v>
      </c>
      <c r="O30" s="18">
        <f>N30*VLOOKUP(A30,Параметры_года!$A$4:$J$6,5,FALSE())</f>
        <v>202400</v>
      </c>
      <c r="P30" s="18">
        <f>VLOOKUP(A30,Параметры_года!$A$4:$J$6,4,FALSE())</f>
        <v>275000</v>
      </c>
      <c r="Q30" s="18">
        <f t="shared" si="0"/>
        <v>8210160</v>
      </c>
      <c r="R30" s="21">
        <f>VLOOKUP(A30,Параметры_года!$A$4:$J$6,7,FALSE())</f>
        <v>0.35</v>
      </c>
      <c r="S30" s="18">
        <f t="shared" si="1"/>
        <v>5336604</v>
      </c>
      <c r="T30" s="18">
        <f t="shared" si="2"/>
        <v>2873556</v>
      </c>
      <c r="U30" s="24">
        <f t="shared" si="3"/>
        <v>372412.85759999999</v>
      </c>
      <c r="V30" s="17" t="s">
        <v>143</v>
      </c>
    </row>
    <row r="31" spans="1:22" ht="36.75" customHeight="1" x14ac:dyDescent="0.6">
      <c r="A31" s="17">
        <v>2025</v>
      </c>
      <c r="B31" s="17">
        <v>12</v>
      </c>
      <c r="C31" s="17" t="s">
        <v>71</v>
      </c>
      <c r="D31" s="17" t="s">
        <v>73</v>
      </c>
      <c r="E31" s="17" t="s">
        <v>74</v>
      </c>
      <c r="F31" s="17" t="s">
        <v>75</v>
      </c>
      <c r="G31" s="17" t="s">
        <v>29</v>
      </c>
      <c r="H31" s="20">
        <v>0.12959999999999999</v>
      </c>
      <c r="I31" s="21">
        <v>0.8</v>
      </c>
      <c r="J31" s="22">
        <v>3.78</v>
      </c>
      <c r="K31" s="22">
        <v>5.4</v>
      </c>
      <c r="L31" s="22">
        <v>12.96</v>
      </c>
      <c r="M31" s="23">
        <v>1890000</v>
      </c>
      <c r="N31" s="18">
        <f>VLOOKUP(A31,Параметры_года!$A$4:$J$6,3,FALSE())*I31</f>
        <v>440000</v>
      </c>
      <c r="O31" s="18">
        <f>N31*VLOOKUP(A31,Параметры_года!$A$4:$J$6,5,FALSE())</f>
        <v>202400</v>
      </c>
      <c r="P31" s="18">
        <f>VLOOKUP(A31,Параметры_года!$A$4:$J$6,4,FALSE())</f>
        <v>275000</v>
      </c>
      <c r="Q31" s="18">
        <f t="shared" si="0"/>
        <v>8210160</v>
      </c>
      <c r="R31" s="21">
        <f>VLOOKUP(A31,Параметры_года!$A$4:$J$6,7,FALSE())</f>
        <v>0.35</v>
      </c>
      <c r="S31" s="18">
        <f t="shared" si="1"/>
        <v>5336604</v>
      </c>
      <c r="T31" s="18">
        <f t="shared" si="2"/>
        <v>2873556</v>
      </c>
      <c r="U31" s="24">
        <f t="shared" si="3"/>
        <v>372412.85759999999</v>
      </c>
      <c r="V31" s="17" t="s">
        <v>143</v>
      </c>
    </row>
    <row r="32" spans="1:22" ht="36.75" customHeight="1" x14ac:dyDescent="0.6">
      <c r="A32" s="17">
        <v>2025</v>
      </c>
      <c r="B32" s="17">
        <v>13</v>
      </c>
      <c r="C32" s="17" t="s">
        <v>76</v>
      </c>
      <c r="D32" s="17" t="s">
        <v>78</v>
      </c>
      <c r="E32" s="17" t="s">
        <v>79</v>
      </c>
      <c r="F32" s="17" t="s">
        <v>80</v>
      </c>
      <c r="G32" s="17" t="s">
        <v>65</v>
      </c>
      <c r="H32" s="20">
        <v>7.5600000000000001E-2</v>
      </c>
      <c r="I32" s="21">
        <v>0.6</v>
      </c>
      <c r="J32" s="22">
        <v>2.16</v>
      </c>
      <c r="K32" s="22">
        <v>3.24</v>
      </c>
      <c r="L32" s="22">
        <v>7.56</v>
      </c>
      <c r="M32" s="23">
        <v>810000</v>
      </c>
      <c r="N32" s="18">
        <f>VLOOKUP(A32,Параметры_года!$A$4:$J$6,3,FALSE())*I32</f>
        <v>330000</v>
      </c>
      <c r="O32" s="18">
        <f>N32*VLOOKUP(A32,Параметры_года!$A$4:$J$6,5,FALSE())</f>
        <v>151800</v>
      </c>
      <c r="P32" s="18">
        <f>VLOOKUP(A32,Параметры_года!$A$4:$J$6,4,FALSE())</f>
        <v>275000</v>
      </c>
      <c r="Q32" s="18">
        <f t="shared" si="0"/>
        <v>4093632</v>
      </c>
      <c r="R32" s="21">
        <f>VLOOKUP(A32,Параметры_года!$A$4:$J$6,7,FALSE())</f>
        <v>0.35</v>
      </c>
      <c r="S32" s="18">
        <f t="shared" si="1"/>
        <v>2660860.8000000003</v>
      </c>
      <c r="T32" s="18">
        <f t="shared" si="2"/>
        <v>1432771.1999999997</v>
      </c>
      <c r="U32" s="24">
        <f t="shared" si="3"/>
        <v>108317.50271999997</v>
      </c>
      <c r="V32" s="17" t="s">
        <v>143</v>
      </c>
    </row>
    <row r="33" spans="1:22" ht="36.75" customHeight="1" x14ac:dyDescent="0.6">
      <c r="A33" s="17">
        <v>2025</v>
      </c>
      <c r="B33" s="17">
        <v>14</v>
      </c>
      <c r="C33" s="17" t="s">
        <v>81</v>
      </c>
      <c r="D33" s="17" t="s">
        <v>83</v>
      </c>
      <c r="E33" s="17" t="s">
        <v>84</v>
      </c>
      <c r="F33" s="17" t="s">
        <v>85</v>
      </c>
      <c r="G33" s="17" t="s">
        <v>65</v>
      </c>
      <c r="H33" s="20">
        <v>7.5600000000000001E-2</v>
      </c>
      <c r="I33" s="21">
        <v>0.6</v>
      </c>
      <c r="J33" s="22">
        <v>2.16</v>
      </c>
      <c r="K33" s="22">
        <v>3.24</v>
      </c>
      <c r="L33" s="22">
        <v>7.56</v>
      </c>
      <c r="M33" s="23">
        <v>810000</v>
      </c>
      <c r="N33" s="18">
        <f>VLOOKUP(A33,Параметры_года!$A$4:$J$6,3,FALSE())*I33</f>
        <v>330000</v>
      </c>
      <c r="O33" s="18">
        <f>N33*VLOOKUP(A33,Параметры_года!$A$4:$J$6,5,FALSE())</f>
        <v>151800</v>
      </c>
      <c r="P33" s="18">
        <f>VLOOKUP(A33,Параметры_года!$A$4:$J$6,4,FALSE())</f>
        <v>275000</v>
      </c>
      <c r="Q33" s="18">
        <f t="shared" si="0"/>
        <v>4093632</v>
      </c>
      <c r="R33" s="21">
        <f>VLOOKUP(A33,Параметры_года!$A$4:$J$6,7,FALSE())</f>
        <v>0.35</v>
      </c>
      <c r="S33" s="18">
        <f t="shared" si="1"/>
        <v>2660860.8000000003</v>
      </c>
      <c r="T33" s="18">
        <f t="shared" si="2"/>
        <v>1432771.1999999997</v>
      </c>
      <c r="U33" s="24">
        <f t="shared" si="3"/>
        <v>108317.50271999997</v>
      </c>
      <c r="V33" s="17" t="s">
        <v>143</v>
      </c>
    </row>
    <row r="34" spans="1:22" ht="36.75" customHeight="1" x14ac:dyDescent="0.6">
      <c r="A34" s="17">
        <v>2025</v>
      </c>
      <c r="B34" s="17">
        <v>15</v>
      </c>
      <c r="C34" s="17" t="s">
        <v>86</v>
      </c>
      <c r="D34" s="17" t="s">
        <v>88</v>
      </c>
      <c r="E34" s="17" t="s">
        <v>89</v>
      </c>
      <c r="F34" s="17" t="s">
        <v>90</v>
      </c>
      <c r="G34" s="17" t="s">
        <v>29</v>
      </c>
      <c r="H34" s="20">
        <v>0.12959999999999999</v>
      </c>
      <c r="I34" s="21">
        <v>0.8</v>
      </c>
      <c r="J34" s="22">
        <v>3.78</v>
      </c>
      <c r="K34" s="22">
        <v>5.4</v>
      </c>
      <c r="L34" s="22">
        <v>12.96</v>
      </c>
      <c r="M34" s="23">
        <v>1890000</v>
      </c>
      <c r="N34" s="18">
        <f>VLOOKUP(A34,Параметры_года!$A$4:$J$6,3,FALSE())*I34</f>
        <v>440000</v>
      </c>
      <c r="O34" s="18">
        <f>N34*VLOOKUP(A34,Параметры_года!$A$4:$J$6,5,FALSE())</f>
        <v>202400</v>
      </c>
      <c r="P34" s="18">
        <f>VLOOKUP(A34,Параметры_года!$A$4:$J$6,4,FALSE())</f>
        <v>275000</v>
      </c>
      <c r="Q34" s="18">
        <f t="shared" si="0"/>
        <v>8210160</v>
      </c>
      <c r="R34" s="21">
        <f>VLOOKUP(A34,Параметры_года!$A$4:$J$6,7,FALSE())</f>
        <v>0.35</v>
      </c>
      <c r="S34" s="18">
        <f t="shared" si="1"/>
        <v>5336604</v>
      </c>
      <c r="T34" s="18">
        <f t="shared" si="2"/>
        <v>2873556</v>
      </c>
      <c r="U34" s="24">
        <f t="shared" si="3"/>
        <v>372412.85759999999</v>
      </c>
      <c r="V34" s="17" t="s">
        <v>143</v>
      </c>
    </row>
    <row r="35" spans="1:22" ht="36.75" customHeight="1" x14ac:dyDescent="0.6">
      <c r="A35" s="17">
        <v>2025</v>
      </c>
      <c r="B35" s="17">
        <v>16</v>
      </c>
      <c r="C35" s="17" t="s">
        <v>91</v>
      </c>
      <c r="D35" s="17" t="s">
        <v>93</v>
      </c>
      <c r="E35" s="17" t="s">
        <v>94</v>
      </c>
      <c r="F35" s="17" t="s">
        <v>95</v>
      </c>
      <c r="G35" s="17" t="s">
        <v>18</v>
      </c>
      <c r="H35" s="20">
        <v>0.19439999999999999</v>
      </c>
      <c r="I35" s="21">
        <v>1</v>
      </c>
      <c r="J35" s="22">
        <v>5.4</v>
      </c>
      <c r="K35" s="22">
        <v>8.64</v>
      </c>
      <c r="L35" s="22">
        <v>19.440000000000001</v>
      </c>
      <c r="M35" s="23">
        <v>3780000</v>
      </c>
      <c r="N35" s="18">
        <f>VLOOKUP(A35,Параметры_года!$A$4:$J$6,3,FALSE())*I35</f>
        <v>550000</v>
      </c>
      <c r="O35" s="18">
        <f>N35*VLOOKUP(A35,Параметры_года!$A$4:$J$6,5,FALSE())</f>
        <v>253000</v>
      </c>
      <c r="P35" s="18">
        <f>VLOOKUP(A35,Параметры_года!$A$4:$J$6,4,FALSE())</f>
        <v>275000</v>
      </c>
      <c r="Q35" s="18">
        <f t="shared" si="0"/>
        <v>14281920</v>
      </c>
      <c r="R35" s="21">
        <f>VLOOKUP(A35,Параметры_года!$A$4:$J$6,7,FALSE())</f>
        <v>0.35</v>
      </c>
      <c r="S35" s="18">
        <f t="shared" si="1"/>
        <v>9283248</v>
      </c>
      <c r="T35" s="18">
        <f t="shared" si="2"/>
        <v>4998672</v>
      </c>
      <c r="U35" s="24">
        <f t="shared" si="3"/>
        <v>971741.83679999993</v>
      </c>
      <c r="V35" s="17" t="s">
        <v>143</v>
      </c>
    </row>
  </sheetData>
  <mergeCells count="1">
    <mergeCell ref="A1:V1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"/>
  <sheetViews>
    <sheetView showGridLines="0" zoomScale="85" zoomScaleNormal="85" workbookViewId="0">
      <selection activeCell="A4" sqref="A4:H6"/>
    </sheetView>
  </sheetViews>
  <sheetFormatPr defaultColWidth="8.6796875" defaultRowHeight="13" x14ac:dyDescent="0.6"/>
  <cols>
    <col min="1" max="1" width="10" customWidth="1"/>
    <col min="2" max="5" width="17" customWidth="1"/>
    <col min="6" max="6" width="16" customWidth="1"/>
    <col min="7" max="7" width="12" customWidth="1"/>
    <col min="8" max="8" width="14" customWidth="1"/>
    <col min="9" max="9" width="34" customWidth="1"/>
  </cols>
  <sheetData>
    <row r="1" spans="1:9" ht="17.25" customHeight="1" x14ac:dyDescent="0.8">
      <c r="A1" s="35" t="s">
        <v>144</v>
      </c>
      <c r="B1" s="35"/>
      <c r="C1" s="35"/>
      <c r="D1" s="35"/>
      <c r="E1" s="35"/>
      <c r="F1" s="35"/>
      <c r="G1" s="35"/>
      <c r="H1" s="35"/>
      <c r="I1" s="35"/>
    </row>
    <row r="3" spans="1:9" ht="36.75" customHeight="1" x14ac:dyDescent="0.6">
      <c r="A3" s="36" t="s">
        <v>104</v>
      </c>
      <c r="B3" s="36" t="s">
        <v>145</v>
      </c>
      <c r="C3" s="36" t="s">
        <v>146</v>
      </c>
      <c r="D3" s="36" t="s">
        <v>147</v>
      </c>
      <c r="E3" s="36" t="s">
        <v>148</v>
      </c>
      <c r="F3" s="36" t="s">
        <v>149</v>
      </c>
      <c r="G3" s="36" t="s">
        <v>150</v>
      </c>
      <c r="H3" s="36" t="s">
        <v>151</v>
      </c>
      <c r="I3" s="16" t="s">
        <v>111</v>
      </c>
    </row>
    <row r="4" spans="1:9" ht="36.75" customHeight="1" x14ac:dyDescent="0.6">
      <c r="A4" s="37">
        <v>2024</v>
      </c>
      <c r="B4" s="38">
        <f>SUMPRODUCT((Угрозы_модель!$A$4:$A$35=A4)*(Угрозы_модель!$H$4:$H$35)*(Угрозы_модель!$Q$4:$Q$35))</f>
        <v>19942050</v>
      </c>
      <c r="C4" s="38">
        <f>SUMPRODUCT((Угрозы_модель!$A$4:$A$35=A4)*(Угрозы_модель!$H$4:$H$35)*(Угрозы_модель!$S$4:$S$35))</f>
        <v>13560593.999999998</v>
      </c>
      <c r="D4" s="38">
        <f>B4-C4</f>
        <v>6381456.0000000019</v>
      </c>
      <c r="E4" s="38">
        <f>SUMIF(Угрозы_модель!$A$4:$A$35,A4,Угрозы_модель!$U$4:$U$35)</f>
        <v>6381456.0000000009</v>
      </c>
      <c r="F4" s="38">
        <f>VLOOKUP(A4,Параметры_года!$A$4:$J$6,2,FALSE())</f>
        <v>365000000</v>
      </c>
      <c r="G4" s="39">
        <f>E4/F4</f>
        <v>1.7483441095890413E-2</v>
      </c>
      <c r="H4" s="40">
        <f>VLOOKUP(A4,Параметры_года!$A$4:$J$6,7,FALSE())</f>
        <v>0.32</v>
      </c>
      <c r="I4" s="17" t="s">
        <v>152</v>
      </c>
    </row>
    <row r="5" spans="1:9" ht="36.75" customHeight="1" x14ac:dyDescent="0.6">
      <c r="A5" s="37">
        <v>2025</v>
      </c>
      <c r="B5" s="38">
        <f>SUMPRODUCT((Угрозы_модель!$A$4:$A$35=A5)*(Угрозы_модель!$H$4:$H$35)*(Угрозы_модель!$Q$4:$Q$35))</f>
        <v>25035124.377599999</v>
      </c>
      <c r="C5" s="38">
        <f>SUMPRODUCT((Угрозы_модель!$A$4:$A$35=A5)*(Угрозы_модель!$H$4:$H$35)*(Угрозы_модель!$S$4:$S$35))</f>
        <v>16272830.845439997</v>
      </c>
      <c r="D5" s="38">
        <f>B5-C5</f>
        <v>8762293.5321600027</v>
      </c>
      <c r="E5" s="38">
        <f>SUMIF(Угрозы_модель!$A$4:$A$35,A5,Угрозы_модель!$U$4:$U$35)</f>
        <v>8762293.532159999</v>
      </c>
      <c r="F5" s="38">
        <f>VLOOKUP(A5,Параметры_года!$A$4:$J$6,2,FALSE())</f>
        <v>401500000</v>
      </c>
      <c r="G5" s="39">
        <f>E5/F5</f>
        <v>2.1823894227048564E-2</v>
      </c>
      <c r="H5" s="40">
        <f>VLOOKUP(A5,Параметры_года!$A$4:$J$6,7,FALSE())</f>
        <v>0.35</v>
      </c>
      <c r="I5" s="17" t="s">
        <v>152</v>
      </c>
    </row>
    <row r="6" spans="1:9" ht="36.75" customHeight="1" x14ac:dyDescent="0.6">
      <c r="A6" s="37">
        <v>2026</v>
      </c>
      <c r="B6" s="38">
        <f>SUMPRODUCT((Угрозы_модель!$A$4:$A$35=A6)*(Угрозы_модель!$H$4:$H$35)*(Угрозы_модель!$Q$4:$Q$35))</f>
        <v>0</v>
      </c>
      <c r="C6" s="38">
        <f>SUMPRODUCT((Угрозы_модель!$A$4:$A$35=A6)*(Угрозы_модель!$H$4:$H$35)*(Угрозы_модель!$S$4:$S$35))</f>
        <v>0</v>
      </c>
      <c r="D6" s="38">
        <f>B6-C6</f>
        <v>0</v>
      </c>
      <c r="E6" s="38">
        <f>SUMIF(Угрозы_модель!$A$4:$A$35,A6,Угрозы_модель!$U$4:$U$35)</f>
        <v>0</v>
      </c>
      <c r="F6" s="38">
        <f>VLOOKUP(A6,Параметры_года!$A$4:$J$6,2,FALSE())</f>
        <v>441650000</v>
      </c>
      <c r="G6" s="39">
        <f>E6/F6</f>
        <v>0</v>
      </c>
      <c r="H6" s="40">
        <f>VLOOKUP(A6,Параметры_года!$A$4:$J$6,7,FALSE())</f>
        <v>0.38</v>
      </c>
      <c r="I6" s="17" t="s">
        <v>152</v>
      </c>
    </row>
    <row r="8" spans="1:9" x14ac:dyDescent="0.6">
      <c r="A8" s="25" t="s">
        <v>153</v>
      </c>
      <c r="B8" t="s">
        <v>154</v>
      </c>
    </row>
    <row r="9" spans="1:9" x14ac:dyDescent="0.6">
      <c r="A9" s="25" t="s">
        <v>155</v>
      </c>
      <c r="B9" t="s">
        <v>156</v>
      </c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3"/>
  <sheetViews>
    <sheetView zoomScale="70" zoomScaleNormal="70" workbookViewId="0">
      <selection sqref="A1:H17"/>
    </sheetView>
  </sheetViews>
  <sheetFormatPr defaultColWidth="8.6796875" defaultRowHeight="13" x14ac:dyDescent="0.6"/>
  <cols>
    <col min="1" max="1" width="5" customWidth="1"/>
    <col min="2" max="2" width="28" customWidth="1"/>
    <col min="3" max="4" width="14" customWidth="1"/>
    <col min="5" max="5" width="8" customWidth="1"/>
    <col min="6" max="6" width="14" customWidth="1"/>
    <col min="7" max="7" width="16" customWidth="1"/>
    <col min="8" max="8" width="20" customWidth="1"/>
    <col min="9" max="9" width="80" customWidth="1"/>
  </cols>
  <sheetData>
    <row r="1" spans="1:9" ht="26" x14ac:dyDescent="0.6">
      <c r="A1" s="41" t="s">
        <v>0</v>
      </c>
      <c r="B1" s="41" t="s">
        <v>157</v>
      </c>
      <c r="C1" s="41" t="s">
        <v>158</v>
      </c>
      <c r="D1" s="41" t="s">
        <v>159</v>
      </c>
      <c r="E1" s="41" t="s">
        <v>160</v>
      </c>
      <c r="F1" s="41" t="s">
        <v>161</v>
      </c>
      <c r="G1" s="41" t="s">
        <v>162</v>
      </c>
      <c r="H1" s="41" t="s">
        <v>163</v>
      </c>
      <c r="I1" s="26" t="s">
        <v>164</v>
      </c>
    </row>
    <row r="2" spans="1:9" ht="23.5" x14ac:dyDescent="0.6">
      <c r="A2" s="42">
        <v>1</v>
      </c>
      <c r="B2" s="42" t="s">
        <v>13</v>
      </c>
      <c r="C2" s="42">
        <v>10</v>
      </c>
      <c r="D2" s="42">
        <v>48</v>
      </c>
      <c r="E2" s="42">
        <v>90</v>
      </c>
      <c r="F2" s="42">
        <v>16</v>
      </c>
      <c r="G2" s="42" t="s">
        <v>165</v>
      </c>
      <c r="H2" s="42" t="s">
        <v>166</v>
      </c>
      <c r="I2" s="27" t="s">
        <v>167</v>
      </c>
    </row>
    <row r="3" spans="1:9" ht="23.5" x14ac:dyDescent="0.6">
      <c r="A3" s="42">
        <v>2</v>
      </c>
      <c r="B3" s="42" t="s">
        <v>19</v>
      </c>
      <c r="C3" s="42">
        <v>16</v>
      </c>
      <c r="D3" s="42">
        <v>40</v>
      </c>
      <c r="E3" s="42">
        <v>75</v>
      </c>
      <c r="F3" s="42">
        <v>24</v>
      </c>
      <c r="G3" s="42" t="s">
        <v>165</v>
      </c>
      <c r="H3" s="42" t="s">
        <v>166</v>
      </c>
      <c r="I3" s="27" t="s">
        <v>168</v>
      </c>
    </row>
    <row r="4" spans="1:9" ht="23.5" x14ac:dyDescent="0.6">
      <c r="A4" s="43">
        <v>3</v>
      </c>
      <c r="B4" s="43" t="s">
        <v>24</v>
      </c>
      <c r="C4" s="43">
        <v>4</v>
      </c>
      <c r="D4" s="43">
        <v>16</v>
      </c>
      <c r="E4" s="43">
        <v>35</v>
      </c>
      <c r="F4" s="43">
        <v>48</v>
      </c>
      <c r="G4" s="43" t="s">
        <v>169</v>
      </c>
      <c r="H4" s="43" t="s">
        <v>170</v>
      </c>
      <c r="I4" s="28" t="s">
        <v>171</v>
      </c>
    </row>
    <row r="5" spans="1:9" ht="23.5" x14ac:dyDescent="0.6">
      <c r="A5" s="42">
        <v>4</v>
      </c>
      <c r="B5" s="42" t="s">
        <v>30</v>
      </c>
      <c r="C5" s="42">
        <v>144</v>
      </c>
      <c r="D5" s="42">
        <v>480</v>
      </c>
      <c r="E5" s="42">
        <v>55</v>
      </c>
      <c r="F5" s="42">
        <v>360</v>
      </c>
      <c r="G5" s="42" t="s">
        <v>165</v>
      </c>
      <c r="H5" s="42" t="s">
        <v>166</v>
      </c>
      <c r="I5" s="27" t="s">
        <v>172</v>
      </c>
    </row>
    <row r="6" spans="1:9" ht="23.5" x14ac:dyDescent="0.6">
      <c r="A6" s="42">
        <v>5</v>
      </c>
      <c r="B6" s="42" t="s">
        <v>35</v>
      </c>
      <c r="C6" s="42">
        <v>96</v>
      </c>
      <c r="D6" s="42">
        <v>336</v>
      </c>
      <c r="E6" s="42">
        <v>90</v>
      </c>
      <c r="F6" s="42">
        <v>480</v>
      </c>
      <c r="G6" s="42" t="s">
        <v>165</v>
      </c>
      <c r="H6" s="42" t="s">
        <v>166</v>
      </c>
      <c r="I6" s="27" t="s">
        <v>173</v>
      </c>
    </row>
    <row r="7" spans="1:9" ht="23.5" x14ac:dyDescent="0.6">
      <c r="A7" s="42">
        <v>6</v>
      </c>
      <c r="B7" s="42" t="s">
        <v>40</v>
      </c>
      <c r="C7" s="42">
        <v>192</v>
      </c>
      <c r="D7" s="42">
        <v>480</v>
      </c>
      <c r="E7" s="42">
        <v>95</v>
      </c>
      <c r="F7" s="42">
        <v>576</v>
      </c>
      <c r="G7" s="42" t="s">
        <v>165</v>
      </c>
      <c r="H7" s="42" t="s">
        <v>166</v>
      </c>
      <c r="I7" s="27" t="s">
        <v>174</v>
      </c>
    </row>
    <row r="8" spans="1:9" ht="23.5" x14ac:dyDescent="0.6">
      <c r="A8" s="42">
        <v>7</v>
      </c>
      <c r="B8" s="42" t="s">
        <v>45</v>
      </c>
      <c r="C8" s="42">
        <v>240</v>
      </c>
      <c r="D8" s="42">
        <v>576</v>
      </c>
      <c r="E8" s="42">
        <v>98</v>
      </c>
      <c r="F8" s="42">
        <v>720</v>
      </c>
      <c r="G8" s="42" t="s">
        <v>165</v>
      </c>
      <c r="H8" s="42" t="s">
        <v>166</v>
      </c>
      <c r="I8" s="27" t="s">
        <v>175</v>
      </c>
    </row>
    <row r="9" spans="1:9" ht="23.5" x14ac:dyDescent="0.6">
      <c r="A9" s="42">
        <v>8</v>
      </c>
      <c r="B9" s="42" t="s">
        <v>50</v>
      </c>
      <c r="C9" s="42">
        <v>8</v>
      </c>
      <c r="D9" s="42">
        <v>48</v>
      </c>
      <c r="E9" s="42">
        <v>60</v>
      </c>
      <c r="F9" s="42">
        <v>72</v>
      </c>
      <c r="G9" s="42" t="s">
        <v>165</v>
      </c>
      <c r="H9" s="42" t="s">
        <v>166</v>
      </c>
      <c r="I9" s="27" t="s">
        <v>176</v>
      </c>
    </row>
    <row r="10" spans="1:9" ht="23.5" x14ac:dyDescent="0.6">
      <c r="A10" s="43">
        <v>9</v>
      </c>
      <c r="B10" s="43" t="s">
        <v>55</v>
      </c>
      <c r="C10" s="43">
        <v>8760</v>
      </c>
      <c r="D10" s="43">
        <v>8760</v>
      </c>
      <c r="E10" s="43">
        <v>100</v>
      </c>
      <c r="F10" s="43">
        <v>8760</v>
      </c>
      <c r="G10" s="43" t="s">
        <v>169</v>
      </c>
      <c r="H10" s="43" t="s">
        <v>170</v>
      </c>
      <c r="I10" s="28" t="s">
        <v>177</v>
      </c>
    </row>
    <row r="11" spans="1:9" ht="23.5" x14ac:dyDescent="0.6">
      <c r="A11" s="43">
        <v>10</v>
      </c>
      <c r="B11" s="43" t="s">
        <v>60</v>
      </c>
      <c r="C11" s="43">
        <v>0</v>
      </c>
      <c r="D11" s="43">
        <v>480</v>
      </c>
      <c r="E11" s="43">
        <v>10</v>
      </c>
      <c r="F11" s="43">
        <v>480</v>
      </c>
      <c r="G11" s="43" t="s">
        <v>169</v>
      </c>
      <c r="H11" s="43" t="s">
        <v>170</v>
      </c>
      <c r="I11" s="28" t="s">
        <v>178</v>
      </c>
    </row>
    <row r="12" spans="1:9" ht="23.5" x14ac:dyDescent="0.6">
      <c r="A12" s="42">
        <v>11</v>
      </c>
      <c r="B12" s="42" t="s">
        <v>66</v>
      </c>
      <c r="C12" s="42">
        <v>16</v>
      </c>
      <c r="D12" s="42">
        <v>72</v>
      </c>
      <c r="E12" s="42">
        <v>70</v>
      </c>
      <c r="F12" s="42">
        <v>120</v>
      </c>
      <c r="G12" s="42" t="s">
        <v>165</v>
      </c>
      <c r="H12" s="42" t="s">
        <v>166</v>
      </c>
      <c r="I12" s="27" t="s">
        <v>179</v>
      </c>
    </row>
    <row r="13" spans="1:9" ht="23.5" x14ac:dyDescent="0.6">
      <c r="A13" s="42">
        <v>12</v>
      </c>
      <c r="B13" s="42" t="s">
        <v>71</v>
      </c>
      <c r="C13" s="42">
        <v>96</v>
      </c>
      <c r="D13" s="42">
        <v>336</v>
      </c>
      <c r="E13" s="42">
        <v>80</v>
      </c>
      <c r="F13" s="42">
        <v>480</v>
      </c>
      <c r="G13" s="42" t="s">
        <v>165</v>
      </c>
      <c r="H13" s="42" t="s">
        <v>166</v>
      </c>
      <c r="I13" s="27" t="s">
        <v>180</v>
      </c>
    </row>
    <row r="14" spans="1:9" ht="23.5" x14ac:dyDescent="0.6">
      <c r="A14" s="42">
        <v>13</v>
      </c>
      <c r="B14" s="42" t="s">
        <v>76</v>
      </c>
      <c r="C14" s="42">
        <v>2</v>
      </c>
      <c r="D14" s="42">
        <v>8</v>
      </c>
      <c r="E14" s="42">
        <v>30</v>
      </c>
      <c r="F14" s="42">
        <v>16</v>
      </c>
      <c r="G14" s="42" t="s">
        <v>165</v>
      </c>
      <c r="H14" s="42" t="s">
        <v>166</v>
      </c>
      <c r="I14" s="27" t="s">
        <v>181</v>
      </c>
    </row>
    <row r="15" spans="1:9" ht="23.5" x14ac:dyDescent="0.6">
      <c r="A15" s="43">
        <v>14</v>
      </c>
      <c r="B15" s="43" t="s">
        <v>81</v>
      </c>
      <c r="C15" s="43">
        <v>4</v>
      </c>
      <c r="D15" s="43">
        <v>24</v>
      </c>
      <c r="E15" s="43">
        <v>25</v>
      </c>
      <c r="F15" s="43">
        <v>32</v>
      </c>
      <c r="G15" s="43" t="s">
        <v>169</v>
      </c>
      <c r="H15" s="43" t="s">
        <v>170</v>
      </c>
      <c r="I15" s="28" t="s">
        <v>182</v>
      </c>
    </row>
    <row r="16" spans="1:9" ht="23.5" x14ac:dyDescent="0.6">
      <c r="A16" s="42">
        <v>15</v>
      </c>
      <c r="B16" s="42" t="s">
        <v>86</v>
      </c>
      <c r="C16" s="42">
        <v>240</v>
      </c>
      <c r="D16" s="42">
        <v>960</v>
      </c>
      <c r="E16" s="42">
        <v>65</v>
      </c>
      <c r="F16" s="42">
        <v>1440</v>
      </c>
      <c r="G16" s="42" t="s">
        <v>165</v>
      </c>
      <c r="H16" s="42" t="s">
        <v>166</v>
      </c>
      <c r="I16" s="27" t="s">
        <v>183</v>
      </c>
    </row>
    <row r="17" spans="1:9" ht="23.5" x14ac:dyDescent="0.6">
      <c r="A17" s="42">
        <v>16</v>
      </c>
      <c r="B17" s="42" t="s">
        <v>91</v>
      </c>
      <c r="C17" s="42">
        <v>168</v>
      </c>
      <c r="D17" s="42">
        <v>720</v>
      </c>
      <c r="E17" s="42">
        <v>97</v>
      </c>
      <c r="F17" s="42">
        <v>960</v>
      </c>
      <c r="G17" s="42" t="s">
        <v>165</v>
      </c>
      <c r="H17" s="42" t="s">
        <v>166</v>
      </c>
      <c r="I17" s="27" t="s">
        <v>184</v>
      </c>
    </row>
    <row r="20" spans="1:9" ht="14.5" x14ac:dyDescent="0.7">
      <c r="A20" s="29" t="s">
        <v>185</v>
      </c>
    </row>
    <row r="21" spans="1:9" x14ac:dyDescent="0.6">
      <c r="A21" s="30" t="s">
        <v>186</v>
      </c>
      <c r="B21" s="31" t="s">
        <v>187</v>
      </c>
    </row>
    <row r="22" spans="1:9" x14ac:dyDescent="0.6">
      <c r="A22" s="32" t="s">
        <v>188</v>
      </c>
      <c r="B22" s="31" t="s">
        <v>189</v>
      </c>
    </row>
    <row r="23" spans="1:9" x14ac:dyDescent="0.6">
      <c r="A23" s="33" t="s">
        <v>190</v>
      </c>
      <c r="B23" s="31" t="s">
        <v>191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Опорный каркас киберугроз 2026</vt:lpstr>
      <vt:lpstr>Параметры_года</vt:lpstr>
      <vt:lpstr>Угрозы_модель</vt:lpstr>
      <vt:lpstr>Итог_по_году</vt:lpstr>
      <vt:lpstr>Источники_HIJK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Igor Mandritsa</cp:lastModifiedBy>
  <cp:revision>0</cp:revision>
  <dcterms:created xsi:type="dcterms:W3CDTF">2026-04-18T04:31:02Z</dcterms:created>
  <dcterms:modified xsi:type="dcterms:W3CDTF">2026-05-07T07:00:58Z</dcterms:modified>
  <dc:language>en-US</dc:language>
</cp:coreProperties>
</file>