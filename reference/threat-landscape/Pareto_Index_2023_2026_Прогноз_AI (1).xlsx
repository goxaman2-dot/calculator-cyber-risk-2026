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_art\Desktop\Бугаева 2026 вкр\"/>
    </mc:Choice>
  </mc:AlternateContent>
  <xr:revisionPtr revIDLastSave="0" documentId="13_ncr:1_{1DF6F5DE-D956-4B03-8E31-A64CB5CD2AF7}" xr6:coauthVersionLast="47" xr6:coauthVersionMax="47" xr10:uidLastSave="{00000000-0000-0000-0000-000000000000}"/>
  <bookViews>
    <workbookView xWindow="-96" yWindow="504" windowWidth="24768" windowHeight="12552" xr2:uid="{00000000-000D-0000-FFFF-FFFF00000000}"/>
  </bookViews>
  <sheets>
    <sheet name="2023" sheetId="1" r:id="rId1"/>
    <sheet name="2024" sheetId="2" r:id="rId2"/>
    <sheet name="2025" sheetId="3" r:id="rId3"/>
    <sheet name="Индексы_и_эластичность" sheetId="4" r:id="rId4"/>
    <sheet name="Графики" sheetId="5" r:id="rId5"/>
    <sheet name="2024_fixed" sheetId="6" r:id="rId6"/>
    <sheet name="202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19" i="2"/>
  <c r="E19" i="3"/>
  <c r="E19" i="7"/>
  <c r="D19" i="1"/>
  <c r="D19" i="2"/>
  <c r="D19" i="7"/>
  <c r="D19" i="3"/>
  <c r="G19" i="7"/>
  <c r="G19" i="3"/>
  <c r="G19" i="2"/>
  <c r="G19" i="1"/>
</calcChain>
</file>

<file path=xl/sharedStrings.xml><?xml version="1.0" encoding="utf-8"?>
<sst xmlns="http://schemas.openxmlformats.org/spreadsheetml/2006/main" count="201" uniqueCount="157">
  <si>
    <t>16-факторная модель 2023 (реконструкция «от обратного», PI=92%)</t>
  </si>
  <si>
    <t>№</t>
  </si>
  <si>
    <t>Фактор (EN)</t>
  </si>
  <si>
    <t>Фактор (RU)</t>
  </si>
  <si>
    <t>TDI</t>
  </si>
  <si>
    <t>Вклад, % (PI)</t>
  </si>
  <si>
    <t>Парето-ядро(80%)</t>
  </si>
  <si>
    <t>Бюджет, $/год</t>
  </si>
  <si>
    <t>Ransomware / Endpoint</t>
  </si>
  <si>
    <t>Шифровальщики и компрометация конечных точек</t>
  </si>
  <si>
    <t>Phishing / BEC</t>
  </si>
  <si>
    <t>Фишинг, социальная инженерия, BEC</t>
  </si>
  <si>
    <t>Perimeter Exploits (VPN/Email)</t>
  </si>
  <si>
    <t>Эксплуатация периметра (VPN, почта, edge)</t>
  </si>
  <si>
    <t>Vulnerability (Patching)</t>
  </si>
  <si>
    <t>Уязвимости и обновления (patch lag)</t>
  </si>
  <si>
    <t>Backup &amp; Recovery</t>
  </si>
  <si>
    <t>Резервное копирование и восстановление</t>
  </si>
  <si>
    <t>IAM / MFA Adoption</t>
  </si>
  <si>
    <t>Управление доступом, MFA</t>
  </si>
  <si>
    <t>SOC / SIEM</t>
  </si>
  <si>
    <t>Мониторинг, корреляция событий, SOC</t>
  </si>
  <si>
    <t>Email Security</t>
  </si>
  <si>
    <t>Защита почты (anti-phishing, DMARC)</t>
  </si>
  <si>
    <t>Network Segmentation</t>
  </si>
  <si>
    <t>Сегментация сети, east-west контроль</t>
  </si>
  <si>
    <t>Web/App Security</t>
  </si>
  <si>
    <t>WAF, защита веб/приложений</t>
  </si>
  <si>
    <t>Privileged Access (PAM)</t>
  </si>
  <si>
    <t>Привилегированный доступ, lateral movement</t>
  </si>
  <si>
    <t>Supply Chain</t>
  </si>
  <si>
    <t>Риски цепочек поставок / зависимости</t>
  </si>
  <si>
    <t>DDoS / Availability</t>
  </si>
  <si>
    <t>DDoS и доступность сервисов</t>
  </si>
  <si>
    <t>DLP / Data Leakage</t>
  </si>
  <si>
    <t>Утечки данных / DLP</t>
  </si>
  <si>
    <t>Cloud Security (early)</t>
  </si>
  <si>
    <t>Облачная безопасность (рост, но не доминанта)</t>
  </si>
  <si>
    <t>OT/IoT</t>
  </si>
  <si>
    <t>OT/IoT устройства и уязвимые периферийные узлы</t>
  </si>
  <si>
    <t>16-факторная модель 2024 (меры защиты, PI=96%)</t>
  </si>
  <si>
    <t>ID</t>
  </si>
  <si>
    <t>1.1</t>
  </si>
  <si>
    <t>MFA/шифрование</t>
  </si>
  <si>
    <t>1.2</t>
  </si>
  <si>
    <t>Обучение фишингу</t>
  </si>
  <si>
    <t>1.3</t>
  </si>
  <si>
    <t>Управление ключами</t>
  </si>
  <si>
    <t>2.1</t>
  </si>
  <si>
    <t>Контроль изменений (ЭЦП/хеши)</t>
  </si>
  <si>
    <t>2.2</t>
  </si>
  <si>
    <t>Контроль конфигураций</t>
  </si>
  <si>
    <t>2.3</t>
  </si>
  <si>
    <t>Управление уязвимостями (Patch-management / VULN)</t>
  </si>
  <si>
    <t>3.1</t>
  </si>
  <si>
    <t>Анти-DDoS/шлюз</t>
  </si>
  <si>
    <t>3.2</t>
  </si>
  <si>
    <t>Резервное копирование</t>
  </si>
  <si>
    <t>4.1</t>
  </si>
  <si>
    <t>Аудит</t>
  </si>
  <si>
    <t>4.2</t>
  </si>
  <si>
    <t>Риски цепочек поставок</t>
  </si>
  <si>
    <t>4.3</t>
  </si>
  <si>
    <t>SIEM</t>
  </si>
  <si>
    <t>4.4</t>
  </si>
  <si>
    <t>Сегментация сети</t>
  </si>
  <si>
    <t>4.5</t>
  </si>
  <si>
    <t>Защита IoT</t>
  </si>
  <si>
    <t>4.6</t>
  </si>
  <si>
    <t>Изоляция legacy</t>
  </si>
  <si>
    <t>4.7</t>
  </si>
  <si>
    <t>Управление привилегированным доступом (PAM)</t>
  </si>
  <si>
    <t>4.8</t>
  </si>
  <si>
    <t>DLP / защита от утечек</t>
  </si>
  <si>
    <t>16-факторная модель 2025 (домены угроз/кластеры, PI≈96%)</t>
  </si>
  <si>
    <t>Cloud Security (CSPM/CIEM)</t>
  </si>
  <si>
    <t>Облачная безопасность и управление конфигурациями</t>
  </si>
  <si>
    <t>Virtualization (Hardening)</t>
  </si>
  <si>
    <t>Безопасность виртуализации и укрепление гипервизоров</t>
  </si>
  <si>
    <t>Firmware / UEFI</t>
  </si>
  <si>
    <t>Защита микропрограмм и загрузки системы</t>
  </si>
  <si>
    <t>Endpoint (EDR/Ransomware)</t>
  </si>
  <si>
    <t>Защита конечных точек от вредоносов и шифровальщиков</t>
  </si>
  <si>
    <t>AppSec (SAST/WAF)</t>
  </si>
  <si>
    <t>Безопасность приложений и веб-защита</t>
  </si>
  <si>
    <t>IAM (Lifecycle/IGA)</t>
  </si>
  <si>
    <t>Управление идентификацией и доступом</t>
  </si>
  <si>
    <t>MFA &amp; Encryption</t>
  </si>
  <si>
    <t>Многофакторная аутентификация и шифрование</t>
  </si>
  <si>
    <t>Phishing</t>
  </si>
  <si>
    <t>Защита от фишинга и социальной инженерии</t>
  </si>
  <si>
    <t>Key Mgmt (Crypto)</t>
  </si>
  <si>
    <t>Управление криптографическими ключами</t>
  </si>
  <si>
    <t>Config Drift (Changes)</t>
  </si>
  <si>
    <t>Контроль изменений и дрейфа конфигураций</t>
  </si>
  <si>
    <t>Управление уязвимостями и обновлениями</t>
  </si>
  <si>
    <t>Backup &amp; DR (Recovery)</t>
  </si>
  <si>
    <t>Резервное копирование и аварийное восстановление</t>
  </si>
  <si>
    <t>MTTD (Detection)</t>
  </si>
  <si>
    <t>Обнаружение угроз и инцидентов</t>
  </si>
  <si>
    <t>Segmentation (Network)</t>
  </si>
  <si>
    <t>Сегментация и микросегментация сети</t>
  </si>
  <si>
    <t>PAM (Privileged Access)</t>
  </si>
  <si>
    <t>Управление привилегированным доступом</t>
  </si>
  <si>
    <t>DLP (Leaks)</t>
  </si>
  <si>
    <t>Предотвращение утечек данных</t>
  </si>
  <si>
    <t>Индекс Парето по годам + ядра + эластичность бюджета к росту TDI (включая прогноз 2026)</t>
  </si>
  <si>
    <t>Год</t>
  </si>
  <si>
    <t>Индекс Парето PI, %</t>
  </si>
  <si>
    <t>TDI (сумма 16 факторов)</t>
  </si>
  <si>
    <t>Бюджет 16 факторов, $/год</t>
  </si>
  <si>
    <t>Стоимость 1% PI, $</t>
  </si>
  <si>
    <t>Размер ядра (80%), факторов</t>
  </si>
  <si>
    <t>Покрытие ядром, % от PI</t>
  </si>
  <si>
    <t>Индекс TDI (2024=100)</t>
  </si>
  <si>
    <t>Индекс бюджета (2024=100)</t>
  </si>
  <si>
    <t>Эластичность бюджета к росту TDI (к пред. году)</t>
  </si>
  <si>
    <t>Графики: (1) Индекс Парето и размер ядра (80%)  (2) Индексы TDI/Бюджет и эластичность</t>
  </si>
  <si>
    <t>PI,%</t>
  </si>
  <si>
    <t>Ядро (факторов)</t>
  </si>
  <si>
    <t>TDI index (2024=100)</t>
  </si>
  <si>
    <t>Budget index (2024=100)</t>
  </si>
  <si>
    <t>Эластичность</t>
  </si>
  <si>
    <t>16-факторная модель 2024 (исправлено: без ID, бюджет пропорционален вкладу PI)</t>
  </si>
  <si>
    <t>16-факторная модель 2026 (прогноз): влияние ИИ-атак, PI=97%, бюджет=2025×1.18, TDI↑</t>
  </si>
  <si>
    <t>AI-Phishing &amp; Deepfake Fraud</t>
  </si>
  <si>
    <t>ИИ-фишинг и deepfake-мошенничество (BEC/voice/video)</t>
  </si>
  <si>
    <t>GenAI Malware &amp; Ransomware Ops</t>
  </si>
  <si>
    <t>Генеративный ИИ в разработке малвари/рансомвари и операциях</t>
  </si>
  <si>
    <t>Automated Exploitation (AI Recon)</t>
  </si>
  <si>
    <t>Автоматизированная эксплуатация (ИИ-разведка/скан/эксплойты)</t>
  </si>
  <si>
    <t>Cloud Security &amp; CIEM (AI Misuse)</t>
  </si>
  <si>
    <t>Облачная безопасность/CIEM с учетом ИИ-злоупотреблений</t>
  </si>
  <si>
    <t>IAM/MFA &amp; Adaptive Auth</t>
  </si>
  <si>
    <t>IAM/MFA и адаптивная аутентификация (risk-based)</t>
  </si>
  <si>
    <t>Model Security (LLM/ML)</t>
  </si>
  <si>
    <t>Безопасность моделей ИИ (LLM/ML): доступ, контроль, мониторинг</t>
  </si>
  <si>
    <t>Prompt Injection &amp; RAG Attacks</t>
  </si>
  <si>
    <t>Prompt-injection, атаки на RAG/агентов и инструменты</t>
  </si>
  <si>
    <t>Data Poisoning / Training Integrity</t>
  </si>
  <si>
    <t>Отравление данных и целостность обучающих наборов</t>
  </si>
  <si>
    <t>Supply Chain (AI packages/models)</t>
  </si>
  <si>
    <t>Цепочки поставок (AI-пакеты/модели/зависимости)</t>
  </si>
  <si>
    <t>Endpoint/XDR (AI-assisted)</t>
  </si>
  <si>
    <t>Endpoint/XDR с ИИ-аналитикой и анти-шифровальщик</t>
  </si>
  <si>
    <t>SIEM/SOAR + UEBA (AI)</t>
  </si>
  <si>
    <t>SIEM/SOAR + UEBA (ИИ-корреляция/поведенческий анализ)</t>
  </si>
  <si>
    <t>Backup/DR &amp; Immutability</t>
  </si>
  <si>
    <t>Backup/DR, неизменяемые бэкапы, быстрое восстановление</t>
  </si>
  <si>
    <t>Network Segmentation / ZTNA</t>
  </si>
  <si>
    <t>Сегментация, ZTNA и контроль east-west</t>
  </si>
  <si>
    <t>DLP &amp; Data Governance for AI</t>
  </si>
  <si>
    <t>DLP и data-governance для предотвращения утечек в ИИ</t>
  </si>
  <si>
    <t>API Security (Agent/tool APIs)</t>
  </si>
  <si>
    <t>API Security для agent/tool API и интеграций</t>
  </si>
  <si>
    <t>Firmware/UEFI &amp; Hardware Trust</t>
  </si>
  <si>
    <t>Firmware/UEFI и доверенная аппаратная основа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</si>
</sst>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2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" fontId="0" fillId="4" borderId="0" xfId="0" applyNumberFormat="1" applyFill="1"/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top" wrapText="1"/>
    </xf>
    <xf numFmtId="2" fontId="4" fillId="4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2" fontId="4" fillId="0" borderId="2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2" fontId="0" fillId="4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Индекс Парето (PI) и индексы TDI/Бюджет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Графики!$B$3</c:f>
              <c:strCache>
                <c:ptCount val="1"/>
                <c:pt idx="0">
                  <c:v>PI,%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Графики!$B$4:$B$6</c:f>
              <c:numCache>
                <c:formatCode>General</c:formatCode>
                <c:ptCount val="3"/>
                <c:pt idx="0">
                  <c:v>92</c:v>
                </c:pt>
                <c:pt idx="1">
                  <c:v>96</c:v>
                </c:pt>
                <c:pt idx="2">
                  <c:v>95.990000000000009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8D-482E-B68B-CEEE0244061B}"/>
            </c:ext>
          </c:extLst>
        </c:ser>
        <c:ser>
          <c:idx val="1"/>
          <c:order val="1"/>
          <c:tx>
            <c:strRef>
              <c:f>Графики!$C$3</c:f>
              <c:strCache>
                <c:ptCount val="1"/>
                <c:pt idx="0">
                  <c:v>Ядро (факторов)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Графики!$C$4:$C$6</c:f>
              <c:numCache>
                <c:formatCode>General</c:formatCode>
                <c:ptCount val="3"/>
                <c:pt idx="0">
                  <c:v>7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98D-482E-B68B-CEEE0244061B}"/>
            </c:ext>
          </c:extLst>
        </c:ser>
        <c:ser>
          <c:idx val="2"/>
          <c:order val="2"/>
          <c:tx>
            <c:strRef>
              <c:f>Графики!$D$3</c:f>
              <c:strCache>
                <c:ptCount val="1"/>
                <c:pt idx="0">
                  <c:v>TDI index (2024=100)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Графики!$D$4:$D$6</c:f>
              <c:numCache>
                <c:formatCode>General</c:formatCode>
                <c:ptCount val="3"/>
                <c:pt idx="0">
                  <c:v>93.877551020408163</c:v>
                </c:pt>
                <c:pt idx="1">
                  <c:v>100</c:v>
                </c:pt>
                <c:pt idx="2">
                  <c:v>102.76224489795921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98D-482E-B68B-CEEE0244061B}"/>
            </c:ext>
          </c:extLst>
        </c:ser>
        <c:ser>
          <c:idx val="3"/>
          <c:order val="3"/>
          <c:tx>
            <c:strRef>
              <c:f>Графики!$E$3</c:f>
              <c:strCache>
                <c:ptCount val="1"/>
                <c:pt idx="0">
                  <c:v>Budget index (2024=100)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Графики!$E$4:$E$6</c:f>
              <c:numCache>
                <c:formatCode>General</c:formatCode>
                <c:ptCount val="3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98D-482E-B68B-CEEE02440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Год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Индекс /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Размер Парето-ядра (80%)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Графики!$C$3</c:f>
              <c:strCache>
                <c:ptCount val="1"/>
                <c:pt idx="0">
                  <c:v>Ядро (факторов)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Графики!$A$4:$A$6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Графики!$C$4:$C$6</c:f>
              <c:numCache>
                <c:formatCode>General</c:formatCode>
                <c:ptCount val="3"/>
                <c:pt idx="0">
                  <c:v>7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0-40A7-B63C-23E70075A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Год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Количество факторов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Эластичность бюджета к росту TDI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Графики!$F$3</c:f>
              <c:strCache>
                <c:ptCount val="1"/>
                <c:pt idx="0">
                  <c:v>Эластичность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Графики!$F$4:$F$6</c:f>
              <c:numCache>
                <c:formatCode>General</c:formatCode>
                <c:ptCount val="3"/>
                <c:pt idx="1">
                  <c:v>3.8333333333333321</c:v>
                </c:pt>
                <c:pt idx="2">
                  <c:v>7.2404876246766943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7F-4906-BDBC-88B08399E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Год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Эластичность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0</xdr:colOff>
      <xdr:row>21</xdr:row>
      <xdr:rowOff>0</xdr:rowOff>
    </xdr:from>
    <xdr:ext cx="50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2" topLeftCell="A3" activePane="bottomLeft" state="frozen"/>
      <selection pane="bottomLeft" activeCell="E5" sqref="E5"/>
    </sheetView>
  </sheetViews>
  <sheetFormatPr defaultRowHeight="14.4" x14ac:dyDescent="0.55000000000000004"/>
  <cols>
    <col min="1" max="1" width="6" customWidth="1"/>
    <col min="2" max="2" width="30" customWidth="1"/>
    <col min="3" max="3" width="46" customWidth="1"/>
    <col min="4" max="4" width="12" customWidth="1"/>
    <col min="5" max="6" width="14" customWidth="1"/>
    <col min="7" max="7" width="18" customWidth="1"/>
  </cols>
  <sheetData>
    <row r="1" spans="1:7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7" ht="28.2" x14ac:dyDescent="0.55000000000000004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</row>
    <row r="3" spans="1:7" x14ac:dyDescent="0.55000000000000004">
      <c r="A3" s="10">
        <v>1</v>
      </c>
      <c r="B3" s="10" t="s">
        <v>8</v>
      </c>
      <c r="C3" s="11" t="s">
        <v>9</v>
      </c>
      <c r="D3" s="12">
        <v>800</v>
      </c>
      <c r="E3" s="12">
        <v>16</v>
      </c>
      <c r="F3" s="10" t="b">
        <v>1</v>
      </c>
      <c r="G3" s="12">
        <v>33141.583054626542</v>
      </c>
    </row>
    <row r="4" spans="1:7" x14ac:dyDescent="0.55000000000000004">
      <c r="A4" s="10">
        <v>2</v>
      </c>
      <c r="B4" s="10" t="s">
        <v>10</v>
      </c>
      <c r="C4" s="11" t="s">
        <v>11</v>
      </c>
      <c r="D4" s="12">
        <v>700</v>
      </c>
      <c r="E4" s="12">
        <v>14</v>
      </c>
      <c r="F4" s="10" t="b">
        <v>1</v>
      </c>
      <c r="G4" s="12">
        <v>28998.885172798218</v>
      </c>
    </row>
    <row r="5" spans="1:7" x14ac:dyDescent="0.55000000000000004">
      <c r="A5" s="10">
        <v>3</v>
      </c>
      <c r="B5" s="11" t="s">
        <v>12</v>
      </c>
      <c r="C5" s="11" t="s">
        <v>13</v>
      </c>
      <c r="D5" s="12">
        <v>600</v>
      </c>
      <c r="E5" s="12">
        <v>12</v>
      </c>
      <c r="F5" s="10" t="b">
        <v>1</v>
      </c>
      <c r="G5" s="12">
        <v>24856.187290969901</v>
      </c>
    </row>
    <row r="6" spans="1:7" x14ac:dyDescent="0.55000000000000004">
      <c r="A6" s="10">
        <v>4</v>
      </c>
      <c r="B6" s="10" t="s">
        <v>14</v>
      </c>
      <c r="C6" s="11" t="s">
        <v>15</v>
      </c>
      <c r="D6" s="12">
        <v>500</v>
      </c>
      <c r="E6" s="12">
        <v>10</v>
      </c>
      <c r="F6" s="10" t="b">
        <v>1</v>
      </c>
      <c r="G6" s="12">
        <v>20713.489409141581</v>
      </c>
    </row>
    <row r="7" spans="1:7" x14ac:dyDescent="0.55000000000000004">
      <c r="A7" s="10">
        <v>5</v>
      </c>
      <c r="B7" s="10" t="s">
        <v>16</v>
      </c>
      <c r="C7" s="11" t="s">
        <v>17</v>
      </c>
      <c r="D7" s="12">
        <v>450</v>
      </c>
      <c r="E7" s="12">
        <v>9</v>
      </c>
      <c r="F7" s="10" t="b">
        <v>1</v>
      </c>
      <c r="G7" s="12">
        <v>18642.14046822743</v>
      </c>
    </row>
    <row r="8" spans="1:7" x14ac:dyDescent="0.55000000000000004">
      <c r="A8" s="10">
        <v>6</v>
      </c>
      <c r="B8" s="10" t="s">
        <v>18</v>
      </c>
      <c r="C8" s="10" t="s">
        <v>19</v>
      </c>
      <c r="D8" s="12">
        <v>350</v>
      </c>
      <c r="E8" s="12">
        <v>7</v>
      </c>
      <c r="F8" s="10" t="b">
        <v>1</v>
      </c>
      <c r="G8" s="12">
        <v>14499.442586399109</v>
      </c>
    </row>
    <row r="9" spans="1:7" x14ac:dyDescent="0.55000000000000004">
      <c r="A9" s="10">
        <v>7</v>
      </c>
      <c r="B9" s="10" t="s">
        <v>20</v>
      </c>
      <c r="C9" s="11" t="s">
        <v>21</v>
      </c>
      <c r="D9" s="12">
        <v>300</v>
      </c>
      <c r="E9" s="12">
        <v>6</v>
      </c>
      <c r="F9" s="10" t="b">
        <v>1</v>
      </c>
      <c r="G9" s="12">
        <v>12428.093645484951</v>
      </c>
    </row>
    <row r="10" spans="1:7" x14ac:dyDescent="0.55000000000000004">
      <c r="A10" s="13">
        <v>8</v>
      </c>
      <c r="B10" s="13" t="s">
        <v>22</v>
      </c>
      <c r="C10" s="14" t="s">
        <v>23</v>
      </c>
      <c r="D10" s="15">
        <v>175</v>
      </c>
      <c r="E10" s="15">
        <v>3.5</v>
      </c>
      <c r="F10" s="13" t="b">
        <v>0</v>
      </c>
      <c r="G10" s="15">
        <v>7249.7212931995546</v>
      </c>
    </row>
    <row r="11" spans="1:7" x14ac:dyDescent="0.55000000000000004">
      <c r="A11" s="13">
        <v>9</v>
      </c>
      <c r="B11" s="13" t="s">
        <v>24</v>
      </c>
      <c r="C11" s="14" t="s">
        <v>25</v>
      </c>
      <c r="D11" s="15">
        <v>200</v>
      </c>
      <c r="E11" s="15">
        <v>4</v>
      </c>
      <c r="F11" s="13" t="b">
        <v>0</v>
      </c>
      <c r="G11" s="15">
        <v>8285.3957636566338</v>
      </c>
    </row>
    <row r="12" spans="1:7" x14ac:dyDescent="0.55000000000000004">
      <c r="A12" s="13">
        <v>10</v>
      </c>
      <c r="B12" s="13" t="s">
        <v>26</v>
      </c>
      <c r="C12" s="14" t="s">
        <v>27</v>
      </c>
      <c r="D12" s="15">
        <v>125</v>
      </c>
      <c r="E12" s="15">
        <v>2.5</v>
      </c>
      <c r="F12" s="13" t="b">
        <v>0</v>
      </c>
      <c r="G12" s="15">
        <v>5178.3723522853952</v>
      </c>
    </row>
    <row r="13" spans="1:7" x14ac:dyDescent="0.55000000000000004">
      <c r="A13" s="13">
        <v>11</v>
      </c>
      <c r="B13" s="13" t="s">
        <v>28</v>
      </c>
      <c r="C13" s="14" t="s">
        <v>29</v>
      </c>
      <c r="D13" s="15">
        <v>100</v>
      </c>
      <c r="E13" s="15">
        <v>2</v>
      </c>
      <c r="F13" s="13" t="b">
        <v>0</v>
      </c>
      <c r="G13" s="15">
        <v>4142.6978818283169</v>
      </c>
    </row>
    <row r="14" spans="1:7" x14ac:dyDescent="0.55000000000000004">
      <c r="A14" s="13">
        <v>12</v>
      </c>
      <c r="B14" s="13" t="s">
        <v>30</v>
      </c>
      <c r="C14" s="14" t="s">
        <v>31</v>
      </c>
      <c r="D14" s="15">
        <v>100</v>
      </c>
      <c r="E14" s="15">
        <v>2</v>
      </c>
      <c r="F14" s="13" t="b">
        <v>0</v>
      </c>
      <c r="G14" s="15">
        <v>4142.6978818283169</v>
      </c>
    </row>
    <row r="15" spans="1:7" x14ac:dyDescent="0.55000000000000004">
      <c r="A15" s="13">
        <v>13</v>
      </c>
      <c r="B15" s="13" t="s">
        <v>32</v>
      </c>
      <c r="C15" s="14" t="s">
        <v>33</v>
      </c>
      <c r="D15" s="15">
        <v>75</v>
      </c>
      <c r="E15" s="15">
        <v>1.5</v>
      </c>
      <c r="F15" s="13" t="b">
        <v>0</v>
      </c>
      <c r="G15" s="15">
        <v>3107.0234113712372</v>
      </c>
    </row>
    <row r="16" spans="1:7" x14ac:dyDescent="0.55000000000000004">
      <c r="A16" s="13">
        <v>14</v>
      </c>
      <c r="B16" s="13" t="s">
        <v>34</v>
      </c>
      <c r="C16" s="13" t="s">
        <v>35</v>
      </c>
      <c r="D16" s="15">
        <v>50</v>
      </c>
      <c r="E16" s="15">
        <v>1</v>
      </c>
      <c r="F16" s="13" t="b">
        <v>0</v>
      </c>
      <c r="G16" s="15">
        <v>2071.348940914158</v>
      </c>
    </row>
    <row r="17" spans="1:7" x14ac:dyDescent="0.55000000000000004">
      <c r="A17" s="13">
        <v>15</v>
      </c>
      <c r="B17" s="13" t="s">
        <v>36</v>
      </c>
      <c r="C17" s="14" t="s">
        <v>37</v>
      </c>
      <c r="D17" s="15">
        <v>50</v>
      </c>
      <c r="E17" s="15">
        <v>1</v>
      </c>
      <c r="F17" s="13" t="b">
        <v>0</v>
      </c>
      <c r="G17" s="15">
        <v>2071.348940914158</v>
      </c>
    </row>
    <row r="18" spans="1:7" x14ac:dyDescent="0.55000000000000004">
      <c r="A18" s="13">
        <v>16</v>
      </c>
      <c r="B18" s="13" t="s">
        <v>38</v>
      </c>
      <c r="C18" s="14" t="s">
        <v>39</v>
      </c>
      <c r="D18" s="15">
        <v>25</v>
      </c>
      <c r="E18" s="15">
        <v>0.5</v>
      </c>
      <c r="F18" s="13" t="b">
        <v>0</v>
      </c>
      <c r="G18" s="15">
        <v>1035.674470457079</v>
      </c>
    </row>
    <row r="19" spans="1:7" x14ac:dyDescent="0.55000000000000004">
      <c r="D19" s="15">
        <f>SUM(D3:D18)</f>
        <v>4600</v>
      </c>
      <c r="E19" s="15">
        <f>SUM(E3:E18)</f>
        <v>92</v>
      </c>
      <c r="G19" s="15">
        <f>SUM(G3:G18)</f>
        <v>190564.10256410256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2" topLeftCell="A3" activePane="bottomLeft" state="frozen"/>
      <selection pane="bottomLeft" activeCell="D19" sqref="D19:E19"/>
    </sheetView>
  </sheetViews>
  <sheetFormatPr defaultRowHeight="14.4" x14ac:dyDescent="0.55000000000000004"/>
  <cols>
    <col min="1" max="1" width="6" customWidth="1"/>
    <col min="2" max="2" width="8" hidden="1" customWidth="1"/>
    <col min="3" max="3" width="48" customWidth="1"/>
    <col min="4" max="4" width="12" customWidth="1"/>
    <col min="5" max="6" width="14" customWidth="1"/>
    <col min="7" max="7" width="18" customWidth="1"/>
  </cols>
  <sheetData>
    <row r="1" spans="1:7" x14ac:dyDescent="0.55000000000000004">
      <c r="A1" s="27" t="s">
        <v>40</v>
      </c>
      <c r="B1" s="28"/>
      <c r="C1" s="28"/>
      <c r="D1" s="28"/>
      <c r="E1" s="28"/>
      <c r="F1" s="28"/>
      <c r="G1" s="28"/>
    </row>
    <row r="2" spans="1:7" ht="28.8" x14ac:dyDescent="0.55000000000000004">
      <c r="A2" s="16" t="s">
        <v>1</v>
      </c>
      <c r="B2" s="16" t="s">
        <v>41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</row>
    <row r="3" spans="1:7" x14ac:dyDescent="0.55000000000000004">
      <c r="A3" s="17">
        <v>1</v>
      </c>
      <c r="B3" s="17" t="s">
        <v>42</v>
      </c>
      <c r="C3" s="18" t="s">
        <v>43</v>
      </c>
      <c r="D3" s="19">
        <v>510.41666666666669</v>
      </c>
      <c r="E3" s="19">
        <v>10</v>
      </c>
      <c r="F3" s="17" t="b">
        <v>1</v>
      </c>
      <c r="G3" s="19">
        <v>10897.4358974359</v>
      </c>
    </row>
    <row r="4" spans="1:7" x14ac:dyDescent="0.55000000000000004">
      <c r="A4" s="17">
        <v>2</v>
      </c>
      <c r="B4" s="17" t="s">
        <v>44</v>
      </c>
      <c r="C4" s="18" t="s">
        <v>45</v>
      </c>
      <c r="D4" s="19">
        <v>255.20833333333329</v>
      </c>
      <c r="E4" s="19">
        <v>5</v>
      </c>
      <c r="F4" s="17" t="b">
        <v>1</v>
      </c>
      <c r="G4" s="19">
        <v>6153.8461538461543</v>
      </c>
    </row>
    <row r="5" spans="1:7" x14ac:dyDescent="0.55000000000000004">
      <c r="A5" s="20">
        <v>3</v>
      </c>
      <c r="B5" s="20" t="s">
        <v>46</v>
      </c>
      <c r="C5" s="21" t="s">
        <v>47</v>
      </c>
      <c r="D5" s="22">
        <v>153.125</v>
      </c>
      <c r="E5" s="22">
        <v>3</v>
      </c>
      <c r="F5" s="20" t="b">
        <v>0</v>
      </c>
      <c r="G5" s="22">
        <v>32051.282051282051</v>
      </c>
    </row>
    <row r="6" spans="1:7" x14ac:dyDescent="0.55000000000000004">
      <c r="A6" s="20">
        <v>4</v>
      </c>
      <c r="B6" s="20" t="s">
        <v>48</v>
      </c>
      <c r="C6" s="23" t="s">
        <v>49</v>
      </c>
      <c r="D6" s="22">
        <v>153.125</v>
      </c>
      <c r="E6" s="22">
        <v>3</v>
      </c>
      <c r="F6" s="20" t="b">
        <v>0</v>
      </c>
      <c r="G6" s="22">
        <v>1923.0769230769231</v>
      </c>
    </row>
    <row r="7" spans="1:7" x14ac:dyDescent="0.55000000000000004">
      <c r="A7" s="17">
        <v>5</v>
      </c>
      <c r="B7" s="17" t="s">
        <v>50</v>
      </c>
      <c r="C7" s="18" t="s">
        <v>51</v>
      </c>
      <c r="D7" s="19">
        <v>306.25</v>
      </c>
      <c r="E7" s="19">
        <v>6</v>
      </c>
      <c r="F7" s="17" t="b">
        <v>1</v>
      </c>
      <c r="G7" s="19">
        <v>4102.5641025641035</v>
      </c>
    </row>
    <row r="8" spans="1:7" x14ac:dyDescent="0.55000000000000004">
      <c r="A8" s="17">
        <v>6</v>
      </c>
      <c r="B8" s="17" t="s">
        <v>52</v>
      </c>
      <c r="C8" s="24" t="s">
        <v>53</v>
      </c>
      <c r="D8" s="19">
        <v>816.66666666666663</v>
      </c>
      <c r="E8" s="19">
        <v>16</v>
      </c>
      <c r="F8" s="17" t="b">
        <v>1</v>
      </c>
      <c r="G8" s="19">
        <v>4871.7948717948721</v>
      </c>
    </row>
    <row r="9" spans="1:7" x14ac:dyDescent="0.55000000000000004">
      <c r="A9" s="17">
        <v>7</v>
      </c>
      <c r="B9" s="17" t="s">
        <v>54</v>
      </c>
      <c r="C9" s="18" t="s">
        <v>55</v>
      </c>
      <c r="D9" s="19">
        <v>204.16666666666671</v>
      </c>
      <c r="E9" s="19">
        <v>4</v>
      </c>
      <c r="F9" s="17" t="b">
        <v>1</v>
      </c>
      <c r="G9" s="19">
        <v>22435.897435897441</v>
      </c>
    </row>
    <row r="10" spans="1:7" x14ac:dyDescent="0.55000000000000004">
      <c r="A10" s="17">
        <v>8</v>
      </c>
      <c r="B10" s="17" t="s">
        <v>56</v>
      </c>
      <c r="C10" s="18" t="s">
        <v>57</v>
      </c>
      <c r="D10" s="19">
        <v>459.375</v>
      </c>
      <c r="E10" s="19">
        <v>9</v>
      </c>
      <c r="F10" s="17" t="b">
        <v>1</v>
      </c>
      <c r="G10" s="19">
        <v>11538.461538461541</v>
      </c>
    </row>
    <row r="11" spans="1:7" x14ac:dyDescent="0.55000000000000004">
      <c r="A11" s="20">
        <v>9</v>
      </c>
      <c r="B11" s="20" t="s">
        <v>58</v>
      </c>
      <c r="C11" s="21" t="s">
        <v>59</v>
      </c>
      <c r="D11" s="22">
        <v>102.0833333333333</v>
      </c>
      <c r="E11" s="22">
        <v>2</v>
      </c>
      <c r="F11" s="20" t="b">
        <v>0</v>
      </c>
      <c r="G11" s="22">
        <v>15384.615384615379</v>
      </c>
    </row>
    <row r="12" spans="1:7" x14ac:dyDescent="0.55000000000000004">
      <c r="A12" s="20">
        <v>10</v>
      </c>
      <c r="B12" s="20" t="s">
        <v>60</v>
      </c>
      <c r="C12" s="21" t="s">
        <v>61</v>
      </c>
      <c r="D12" s="22">
        <v>153.125</v>
      </c>
      <c r="E12" s="22">
        <v>3</v>
      </c>
      <c r="F12" s="20" t="b">
        <v>0</v>
      </c>
      <c r="G12" s="22">
        <v>9615.3846153846152</v>
      </c>
    </row>
    <row r="13" spans="1:7" x14ac:dyDescent="0.55000000000000004">
      <c r="A13" s="17">
        <v>11</v>
      </c>
      <c r="B13" s="17" t="s">
        <v>62</v>
      </c>
      <c r="C13" s="18" t="s">
        <v>63</v>
      </c>
      <c r="D13" s="19">
        <v>612.5</v>
      </c>
      <c r="E13" s="19">
        <v>12</v>
      </c>
      <c r="F13" s="17" t="b">
        <v>1</v>
      </c>
      <c r="G13" s="19">
        <v>48717.948717948719</v>
      </c>
    </row>
    <row r="14" spans="1:7" x14ac:dyDescent="0.55000000000000004">
      <c r="A14" s="17">
        <v>12</v>
      </c>
      <c r="B14" s="17" t="s">
        <v>64</v>
      </c>
      <c r="C14" s="18" t="s">
        <v>65</v>
      </c>
      <c r="D14" s="19">
        <v>408.33333333333331</v>
      </c>
      <c r="E14" s="19">
        <v>8</v>
      </c>
      <c r="F14" s="17" t="b">
        <v>1</v>
      </c>
      <c r="G14" s="19">
        <v>14102.5641025641</v>
      </c>
    </row>
    <row r="15" spans="1:7" x14ac:dyDescent="0.55000000000000004">
      <c r="A15" s="20">
        <v>13</v>
      </c>
      <c r="B15" s="20" t="s">
        <v>66</v>
      </c>
      <c r="C15" s="21" t="s">
        <v>67</v>
      </c>
      <c r="D15" s="22">
        <v>102.0833333333333</v>
      </c>
      <c r="E15" s="22">
        <v>2</v>
      </c>
      <c r="F15" s="20" t="b">
        <v>0</v>
      </c>
      <c r="G15" s="22">
        <v>12179.48717948718</v>
      </c>
    </row>
    <row r="16" spans="1:7" x14ac:dyDescent="0.55000000000000004">
      <c r="A16" s="20">
        <v>14</v>
      </c>
      <c r="B16" s="20" t="s">
        <v>68</v>
      </c>
      <c r="C16" s="21" t="s">
        <v>69</v>
      </c>
      <c r="D16" s="22">
        <v>153.125</v>
      </c>
      <c r="E16" s="22">
        <v>3</v>
      </c>
      <c r="F16" s="20" t="b">
        <v>0</v>
      </c>
      <c r="G16" s="22">
        <v>20512.820512820512</v>
      </c>
    </row>
    <row r="17" spans="1:7" x14ac:dyDescent="0.55000000000000004">
      <c r="A17" s="17">
        <v>15</v>
      </c>
      <c r="B17" s="17" t="s">
        <v>70</v>
      </c>
      <c r="C17" s="24" t="s">
        <v>71</v>
      </c>
      <c r="D17" s="19">
        <v>306.25</v>
      </c>
      <c r="E17" s="19">
        <v>6</v>
      </c>
      <c r="F17" s="17" t="b">
        <v>1</v>
      </c>
      <c r="G17" s="19">
        <v>9615.3846153846152</v>
      </c>
    </row>
    <row r="18" spans="1:7" x14ac:dyDescent="0.55000000000000004">
      <c r="A18" s="17">
        <v>16</v>
      </c>
      <c r="B18" s="17" t="s">
        <v>72</v>
      </c>
      <c r="C18" s="18" t="s">
        <v>73</v>
      </c>
      <c r="D18" s="19">
        <v>204.16666666666671</v>
      </c>
      <c r="E18" s="19">
        <v>4</v>
      </c>
      <c r="F18" s="17" t="b">
        <v>1</v>
      </c>
      <c r="G18" s="19">
        <v>14102.5641025641</v>
      </c>
    </row>
    <row r="19" spans="1:7" x14ac:dyDescent="0.55000000000000004">
      <c r="D19" s="15">
        <f>SUM(D3:D18)</f>
        <v>4900</v>
      </c>
      <c r="E19" s="15">
        <f>SUM(E3:E18)</f>
        <v>96</v>
      </c>
      <c r="G19" s="15">
        <f>SUM(G3:G18)</f>
        <v>238205.12820512819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2" topLeftCell="A3" activePane="bottomLeft" state="frozen"/>
      <selection pane="bottomLeft" activeCell="D19" sqref="D19:E19"/>
    </sheetView>
  </sheetViews>
  <sheetFormatPr defaultRowHeight="14.4" x14ac:dyDescent="0.55000000000000004"/>
  <cols>
    <col min="1" max="1" width="6" customWidth="1"/>
    <col min="2" max="2" width="34" customWidth="1"/>
    <col min="3" max="3" width="52" customWidth="1"/>
    <col min="4" max="4" width="12" customWidth="1"/>
    <col min="5" max="6" width="14" customWidth="1"/>
    <col min="7" max="7" width="18" customWidth="1"/>
  </cols>
  <sheetData>
    <row r="1" spans="1:7" x14ac:dyDescent="0.55000000000000004">
      <c r="A1" s="27" t="s">
        <v>74</v>
      </c>
      <c r="B1" s="28"/>
      <c r="C1" s="28"/>
      <c r="D1" s="28"/>
      <c r="E1" s="28"/>
      <c r="F1" s="28"/>
      <c r="G1" s="28"/>
    </row>
    <row r="2" spans="1:7" ht="28.8" x14ac:dyDescent="0.55000000000000004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</row>
    <row r="3" spans="1:7" x14ac:dyDescent="0.55000000000000004">
      <c r="A3" s="17">
        <v>1</v>
      </c>
      <c r="B3" s="25" t="s">
        <v>75</v>
      </c>
      <c r="C3" s="25" t="s">
        <v>76</v>
      </c>
      <c r="D3" s="19">
        <v>949.54</v>
      </c>
      <c r="E3" s="19">
        <v>18.100000000000001</v>
      </c>
      <c r="F3" s="17" t="b">
        <v>1</v>
      </c>
      <c r="G3" s="19">
        <v>53899.524790242569</v>
      </c>
    </row>
    <row r="4" spans="1:7" x14ac:dyDescent="0.55000000000000004">
      <c r="A4" s="17">
        <v>2</v>
      </c>
      <c r="B4" s="25" t="s">
        <v>77</v>
      </c>
      <c r="C4" s="25" t="s">
        <v>78</v>
      </c>
      <c r="D4" s="19">
        <v>621.74</v>
      </c>
      <c r="E4" s="19">
        <v>11.85</v>
      </c>
      <c r="F4" s="17" t="b">
        <v>1</v>
      </c>
      <c r="G4" s="19">
        <v>35287.810428970959</v>
      </c>
    </row>
    <row r="5" spans="1:7" x14ac:dyDescent="0.55000000000000004">
      <c r="A5" s="17">
        <v>3</v>
      </c>
      <c r="B5" s="17" t="s">
        <v>79</v>
      </c>
      <c r="C5" s="25" t="s">
        <v>80</v>
      </c>
      <c r="D5" s="19">
        <v>617.9</v>
      </c>
      <c r="E5" s="19">
        <v>11.78</v>
      </c>
      <c r="F5" s="17" t="b">
        <v>1</v>
      </c>
      <c r="G5" s="19">
        <v>35079.359228124718</v>
      </c>
    </row>
    <row r="6" spans="1:7" x14ac:dyDescent="0.55000000000000004">
      <c r="A6" s="17">
        <v>4</v>
      </c>
      <c r="B6" s="17" t="s">
        <v>81</v>
      </c>
      <c r="C6" s="25" t="s">
        <v>82</v>
      </c>
      <c r="D6" s="19">
        <v>519.17999999999995</v>
      </c>
      <c r="E6" s="19">
        <v>9.9</v>
      </c>
      <c r="F6" s="17" t="b">
        <v>1</v>
      </c>
      <c r="G6" s="19">
        <v>29480.95554825422</v>
      </c>
    </row>
    <row r="7" spans="1:7" x14ac:dyDescent="0.55000000000000004">
      <c r="A7" s="17">
        <v>5</v>
      </c>
      <c r="B7" s="17" t="s">
        <v>83</v>
      </c>
      <c r="C7" s="25" t="s">
        <v>84</v>
      </c>
      <c r="D7" s="19">
        <v>421.38</v>
      </c>
      <c r="E7" s="19">
        <v>8.0299999999999994</v>
      </c>
      <c r="F7" s="17" t="b">
        <v>1</v>
      </c>
      <c r="G7" s="19">
        <v>23912.330611361751</v>
      </c>
    </row>
    <row r="8" spans="1:7" x14ac:dyDescent="0.55000000000000004">
      <c r="A8" s="17">
        <v>6</v>
      </c>
      <c r="B8" s="17" t="s">
        <v>85</v>
      </c>
      <c r="C8" s="25" t="s">
        <v>86</v>
      </c>
      <c r="D8" s="19">
        <v>365.51</v>
      </c>
      <c r="E8" s="19">
        <v>6.97</v>
      </c>
      <c r="F8" s="17" t="b">
        <v>1</v>
      </c>
      <c r="G8" s="19">
        <v>20755.78385569009</v>
      </c>
    </row>
    <row r="9" spans="1:7" x14ac:dyDescent="0.55000000000000004">
      <c r="A9" s="17">
        <v>7</v>
      </c>
      <c r="B9" s="17" t="s">
        <v>87</v>
      </c>
      <c r="C9" s="25" t="s">
        <v>88</v>
      </c>
      <c r="D9" s="19">
        <v>286.3</v>
      </c>
      <c r="E9" s="19">
        <v>5.46</v>
      </c>
      <c r="F9" s="17" t="b">
        <v>1</v>
      </c>
      <c r="G9" s="19">
        <v>16259.19366600687</v>
      </c>
    </row>
    <row r="10" spans="1:7" x14ac:dyDescent="0.55000000000000004">
      <c r="A10" s="17">
        <v>8</v>
      </c>
      <c r="B10" s="17" t="s">
        <v>89</v>
      </c>
      <c r="C10" s="25" t="s">
        <v>90</v>
      </c>
      <c r="D10" s="19">
        <v>281.5</v>
      </c>
      <c r="E10" s="19">
        <v>5.37</v>
      </c>
      <c r="F10" s="17" t="b">
        <v>1</v>
      </c>
      <c r="G10" s="19">
        <v>15991.18497920456</v>
      </c>
    </row>
    <row r="11" spans="1:7" x14ac:dyDescent="0.55000000000000004">
      <c r="A11" s="20">
        <v>9</v>
      </c>
      <c r="B11" s="20" t="s">
        <v>91</v>
      </c>
      <c r="C11" s="26" t="s">
        <v>92</v>
      </c>
      <c r="D11" s="22">
        <v>265.18</v>
      </c>
      <c r="E11" s="22">
        <v>5.0599999999999996</v>
      </c>
      <c r="F11" s="20" t="b">
        <v>0</v>
      </c>
      <c r="G11" s="22">
        <v>15068.043946885489</v>
      </c>
    </row>
    <row r="12" spans="1:7" x14ac:dyDescent="0.55000000000000004">
      <c r="A12" s="20">
        <v>10</v>
      </c>
      <c r="B12" s="20" t="s">
        <v>93</v>
      </c>
      <c r="C12" s="26" t="s">
        <v>94</v>
      </c>
      <c r="D12" s="22">
        <v>178.27</v>
      </c>
      <c r="E12" s="22">
        <v>3.4</v>
      </c>
      <c r="F12" s="20" t="b">
        <v>0</v>
      </c>
      <c r="G12" s="22">
        <v>10124.772612531749</v>
      </c>
    </row>
    <row r="13" spans="1:7" x14ac:dyDescent="0.55000000000000004">
      <c r="A13" s="20">
        <v>11</v>
      </c>
      <c r="B13" s="20" t="s">
        <v>14</v>
      </c>
      <c r="C13" s="26" t="s">
        <v>95</v>
      </c>
      <c r="D13" s="22">
        <v>157.01</v>
      </c>
      <c r="E13" s="22">
        <v>2.99</v>
      </c>
      <c r="F13" s="20" t="b">
        <v>0</v>
      </c>
      <c r="G13" s="22">
        <v>8903.8441504323364</v>
      </c>
    </row>
    <row r="14" spans="1:7" x14ac:dyDescent="0.55000000000000004">
      <c r="A14" s="20">
        <v>12</v>
      </c>
      <c r="B14" s="20" t="s">
        <v>96</v>
      </c>
      <c r="C14" s="26" t="s">
        <v>97</v>
      </c>
      <c r="D14" s="22">
        <v>117.14</v>
      </c>
      <c r="E14" s="22">
        <v>2.23</v>
      </c>
      <c r="F14" s="20" t="b">
        <v>0</v>
      </c>
      <c r="G14" s="22">
        <v>6640.6596841017081</v>
      </c>
    </row>
    <row r="15" spans="1:7" x14ac:dyDescent="0.55000000000000004">
      <c r="A15" s="20">
        <v>13</v>
      </c>
      <c r="B15" s="20" t="s">
        <v>98</v>
      </c>
      <c r="C15" s="26" t="s">
        <v>99</v>
      </c>
      <c r="D15" s="22">
        <v>104.5</v>
      </c>
      <c r="E15" s="22">
        <v>1.99</v>
      </c>
      <c r="F15" s="20" t="b">
        <v>0</v>
      </c>
      <c r="G15" s="22">
        <v>5925.9698526288776</v>
      </c>
    </row>
    <row r="16" spans="1:7" x14ac:dyDescent="0.55000000000000004">
      <c r="A16" s="20">
        <v>14</v>
      </c>
      <c r="B16" s="20" t="s">
        <v>100</v>
      </c>
      <c r="C16" s="26" t="s">
        <v>101</v>
      </c>
      <c r="D16" s="22">
        <v>62.58</v>
      </c>
      <c r="E16" s="22">
        <v>1.19</v>
      </c>
      <c r="F16" s="20" t="b">
        <v>0</v>
      </c>
      <c r="G16" s="22">
        <v>3543.670414386113</v>
      </c>
    </row>
    <row r="17" spans="1:7" x14ac:dyDescent="0.55000000000000004">
      <c r="A17" s="20">
        <v>15</v>
      </c>
      <c r="B17" s="20" t="s">
        <v>102</v>
      </c>
      <c r="C17" s="26" t="s">
        <v>103</v>
      </c>
      <c r="D17" s="22">
        <v>57.14</v>
      </c>
      <c r="E17" s="22">
        <v>1.0900000000000001</v>
      </c>
      <c r="F17" s="20" t="b">
        <v>0</v>
      </c>
      <c r="G17" s="22">
        <v>3245.8829846057679</v>
      </c>
    </row>
    <row r="18" spans="1:7" x14ac:dyDescent="0.55000000000000004">
      <c r="A18" s="20">
        <v>16</v>
      </c>
      <c r="B18" s="20" t="s">
        <v>104</v>
      </c>
      <c r="C18" s="26" t="s">
        <v>105</v>
      </c>
      <c r="D18" s="22">
        <v>30.48</v>
      </c>
      <c r="E18" s="22">
        <v>0.57999999999999996</v>
      </c>
      <c r="F18" s="20" t="b">
        <v>0</v>
      </c>
      <c r="G18" s="22">
        <v>1727.167092726005</v>
      </c>
    </row>
    <row r="19" spans="1:7" x14ac:dyDescent="0.55000000000000004">
      <c r="D19" s="15">
        <f>SUM(D3:D18)</f>
        <v>5035.3500000000013</v>
      </c>
      <c r="E19" s="15">
        <f>SUM(E3:E18)</f>
        <v>95.990000000000009</v>
      </c>
      <c r="G19" s="15">
        <f>SUM(G3:G18)</f>
        <v>285846.15384615381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8" customWidth="1"/>
    <col min="2" max="2" width="18" customWidth="1"/>
    <col min="3" max="3" width="20" customWidth="1"/>
    <col min="4" max="4" width="22" customWidth="1"/>
    <col min="5" max="5" width="18" customWidth="1"/>
    <col min="6" max="7" width="20" customWidth="1"/>
    <col min="8" max="8" width="18" customWidth="1"/>
    <col min="9" max="9" width="20" customWidth="1"/>
    <col min="10" max="10" width="28" customWidth="1"/>
  </cols>
  <sheetData>
    <row r="1" spans="1:10" x14ac:dyDescent="0.55000000000000004">
      <c r="A1" s="27" t="s">
        <v>106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8.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</row>
    <row r="3" spans="1:10" x14ac:dyDescent="0.55000000000000004">
      <c r="A3" s="5">
        <v>2023</v>
      </c>
      <c r="B3" s="6">
        <v>92</v>
      </c>
      <c r="C3" s="6">
        <v>4600</v>
      </c>
      <c r="D3" s="6">
        <v>190564.10256410259</v>
      </c>
      <c r="E3" s="6">
        <v>2071.348940914158</v>
      </c>
      <c r="F3" s="7">
        <v>7</v>
      </c>
      <c r="G3" s="6">
        <v>80.434782608695656</v>
      </c>
      <c r="H3" s="6">
        <v>93.877551020408163</v>
      </c>
      <c r="I3" s="6">
        <v>80</v>
      </c>
      <c r="J3" s="6"/>
    </row>
    <row r="4" spans="1:10" x14ac:dyDescent="0.55000000000000004">
      <c r="A4" s="5">
        <v>2024</v>
      </c>
      <c r="B4" s="6">
        <v>96</v>
      </c>
      <c r="C4" s="6">
        <v>4900</v>
      </c>
      <c r="D4" s="6">
        <v>238205.12820512819</v>
      </c>
      <c r="E4" s="6">
        <v>2481.303418803418</v>
      </c>
      <c r="F4" s="7">
        <v>10</v>
      </c>
      <c r="G4" s="6">
        <v>83.333333333333343</v>
      </c>
      <c r="H4" s="6">
        <v>100</v>
      </c>
      <c r="I4" s="6">
        <v>100</v>
      </c>
      <c r="J4" s="6">
        <v>3.8333333333333321</v>
      </c>
    </row>
    <row r="5" spans="1:10" x14ac:dyDescent="0.55000000000000004">
      <c r="A5" s="5">
        <v>2025</v>
      </c>
      <c r="B5" s="6">
        <v>95.990000000000009</v>
      </c>
      <c r="C5" s="6">
        <v>5035.3500000000013</v>
      </c>
      <c r="D5" s="6">
        <v>285846.15384615381</v>
      </c>
      <c r="E5" s="6">
        <v>2977.874297803457</v>
      </c>
      <c r="F5" s="7">
        <v>8</v>
      </c>
      <c r="G5" s="6">
        <v>80.69590582352329</v>
      </c>
      <c r="H5" s="6">
        <v>102.76224489795921</v>
      </c>
      <c r="I5" s="6">
        <v>120</v>
      </c>
      <c r="J5" s="6">
        <v>7.2404876246766943</v>
      </c>
    </row>
    <row r="6" spans="1:10" x14ac:dyDescent="0.55000000000000004">
      <c r="A6" s="5">
        <v>2026</v>
      </c>
      <c r="B6" s="6">
        <v>97</v>
      </c>
      <c r="C6" s="6">
        <v>6500</v>
      </c>
      <c r="D6" s="6">
        <v>337298.46153846139</v>
      </c>
      <c r="E6" s="6">
        <v>3477.3037272006331</v>
      </c>
      <c r="F6" s="7">
        <v>11</v>
      </c>
      <c r="G6" s="6">
        <v>82.474226804123703</v>
      </c>
      <c r="H6" s="6">
        <v>132.65306122448979</v>
      </c>
      <c r="I6" s="6">
        <v>141.59999999999991</v>
      </c>
      <c r="J6" s="6">
        <v>0.61882565800703171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3" topLeftCell="A4" activePane="bottomLeft" state="frozen"/>
      <selection pane="bottomLeft"/>
    </sheetView>
  </sheetViews>
  <sheetFormatPr defaultRowHeight="14.4" x14ac:dyDescent="0.55000000000000004"/>
  <cols>
    <col min="1" max="2" width="10" customWidth="1"/>
    <col min="3" max="3" width="16" customWidth="1"/>
    <col min="4" max="5" width="18" customWidth="1"/>
    <col min="6" max="6" width="14" customWidth="1"/>
    <col min="7" max="8" width="10" customWidth="1"/>
  </cols>
  <sheetData>
    <row r="1" spans="1:8" x14ac:dyDescent="0.55000000000000004">
      <c r="A1" s="27" t="s">
        <v>117</v>
      </c>
      <c r="B1" s="28"/>
      <c r="C1" s="28"/>
      <c r="D1" s="28"/>
      <c r="E1" s="28"/>
      <c r="F1" s="28"/>
      <c r="G1" s="28"/>
      <c r="H1" s="28"/>
    </row>
    <row r="3" spans="1:8" ht="28.8" x14ac:dyDescent="0.55000000000000004">
      <c r="A3" s="1" t="s">
        <v>107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</row>
    <row r="4" spans="1:8" x14ac:dyDescent="0.55000000000000004">
      <c r="A4" s="5">
        <v>2023</v>
      </c>
      <c r="B4" s="5">
        <v>92</v>
      </c>
      <c r="C4" s="5">
        <v>7</v>
      </c>
      <c r="D4" s="5">
        <v>93.877551020408163</v>
      </c>
      <c r="E4" s="5">
        <v>80</v>
      </c>
      <c r="F4" s="5"/>
    </row>
    <row r="5" spans="1:8" x14ac:dyDescent="0.55000000000000004">
      <c r="A5" s="5">
        <v>2024</v>
      </c>
      <c r="B5" s="5">
        <v>96</v>
      </c>
      <c r="C5" s="5">
        <v>10</v>
      </c>
      <c r="D5" s="5">
        <v>100</v>
      </c>
      <c r="E5" s="5">
        <v>100</v>
      </c>
      <c r="F5" s="5">
        <v>3.8333333333333321</v>
      </c>
    </row>
    <row r="6" spans="1:8" x14ac:dyDescent="0.55000000000000004">
      <c r="A6" s="5">
        <v>2025</v>
      </c>
      <c r="B6" s="5">
        <v>95.990000000000009</v>
      </c>
      <c r="C6" s="5">
        <v>8</v>
      </c>
      <c r="D6" s="5">
        <v>102.76224489795921</v>
      </c>
      <c r="E6" s="5">
        <v>120</v>
      </c>
      <c r="F6" s="5">
        <v>7.2404876246766943</v>
      </c>
    </row>
  </sheetData>
  <mergeCells count="1"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workbookViewId="0"/>
  </sheetViews>
  <sheetFormatPr defaultRowHeight="14.4" x14ac:dyDescent="0.55000000000000004"/>
  <cols>
    <col min="1" max="1" width="6" customWidth="1"/>
    <col min="2" max="2" width="50" customWidth="1"/>
    <col min="3" max="3" width="12" customWidth="1"/>
    <col min="4" max="4" width="14" customWidth="1"/>
    <col min="5" max="5" width="16" customWidth="1"/>
    <col min="6" max="6" width="18" customWidth="1"/>
  </cols>
  <sheetData>
    <row r="1" spans="1:7" x14ac:dyDescent="0.55000000000000004">
      <c r="A1" s="27" t="s">
        <v>123</v>
      </c>
      <c r="B1" s="28"/>
      <c r="C1" s="28"/>
      <c r="D1" s="28"/>
      <c r="E1" s="28"/>
      <c r="F1" s="28"/>
    </row>
    <row r="2" spans="1:7" ht="28.8" x14ac:dyDescent="0.55000000000000004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x14ac:dyDescent="0.55000000000000004">
      <c r="A3" s="2">
        <v>1</v>
      </c>
      <c r="B3" s="2" t="s">
        <v>43</v>
      </c>
      <c r="C3" s="3">
        <v>510.41666666666669</v>
      </c>
      <c r="D3" s="4">
        <v>10</v>
      </c>
      <c r="E3" s="4" t="b">
        <v>1</v>
      </c>
      <c r="F3" s="2">
        <v>24813.034188034191</v>
      </c>
      <c r="G3" s="8"/>
    </row>
    <row r="4" spans="1:7" x14ac:dyDescent="0.55000000000000004">
      <c r="A4" s="2">
        <v>2</v>
      </c>
      <c r="B4" s="2" t="s">
        <v>45</v>
      </c>
      <c r="C4" s="3">
        <v>255.20833333333329</v>
      </c>
      <c r="D4" s="4">
        <v>5</v>
      </c>
      <c r="E4" s="4" t="b">
        <v>1</v>
      </c>
      <c r="F4" s="2">
        <v>12406.51709401709</v>
      </c>
      <c r="G4" s="8"/>
    </row>
    <row r="5" spans="1:7" x14ac:dyDescent="0.55000000000000004">
      <c r="A5" s="2">
        <v>3</v>
      </c>
      <c r="B5" s="2" t="s">
        <v>47</v>
      </c>
      <c r="C5" s="3">
        <v>153.125</v>
      </c>
      <c r="D5" s="4">
        <v>3</v>
      </c>
      <c r="E5" s="4" t="b">
        <v>0</v>
      </c>
      <c r="F5" s="2">
        <v>7443.9102564102559</v>
      </c>
      <c r="G5" s="8"/>
    </row>
    <row r="6" spans="1:7" x14ac:dyDescent="0.55000000000000004">
      <c r="A6" s="2">
        <v>4</v>
      </c>
      <c r="B6" s="2" t="s">
        <v>49</v>
      </c>
      <c r="C6" s="3">
        <v>153.125</v>
      </c>
      <c r="D6" s="4">
        <v>3</v>
      </c>
      <c r="E6" s="4" t="b">
        <v>0</v>
      </c>
      <c r="F6" s="2">
        <v>7443.9102564102559</v>
      </c>
      <c r="G6" s="8"/>
    </row>
    <row r="7" spans="1:7" x14ac:dyDescent="0.55000000000000004">
      <c r="A7" s="2">
        <v>5</v>
      </c>
      <c r="B7" s="2" t="s">
        <v>51</v>
      </c>
      <c r="C7" s="3">
        <v>306.25</v>
      </c>
      <c r="D7" s="4">
        <v>6</v>
      </c>
      <c r="E7" s="4" t="b">
        <v>1</v>
      </c>
      <c r="F7" s="2">
        <v>14887.82051282051</v>
      </c>
      <c r="G7" s="8"/>
    </row>
    <row r="8" spans="1:7" x14ac:dyDescent="0.55000000000000004">
      <c r="A8" s="2">
        <v>6</v>
      </c>
      <c r="B8" s="2" t="s">
        <v>53</v>
      </c>
      <c r="C8" s="3">
        <v>816.66666666666663</v>
      </c>
      <c r="D8" s="4">
        <v>16</v>
      </c>
      <c r="E8" s="4" t="b">
        <v>1</v>
      </c>
      <c r="F8" s="2">
        <v>39700.854700854703</v>
      </c>
      <c r="G8" s="8"/>
    </row>
    <row r="9" spans="1:7" x14ac:dyDescent="0.55000000000000004">
      <c r="A9" s="2">
        <v>7</v>
      </c>
      <c r="B9" s="2" t="s">
        <v>55</v>
      </c>
      <c r="C9" s="3">
        <v>204.16666666666671</v>
      </c>
      <c r="D9" s="4">
        <v>4</v>
      </c>
      <c r="E9" s="4" t="b">
        <v>1</v>
      </c>
      <c r="F9" s="2">
        <v>9925.2136752136739</v>
      </c>
      <c r="G9" s="8"/>
    </row>
    <row r="10" spans="1:7" x14ac:dyDescent="0.55000000000000004">
      <c r="A10" s="2">
        <v>8</v>
      </c>
      <c r="B10" s="2" t="s">
        <v>57</v>
      </c>
      <c r="C10" s="3">
        <v>459.375</v>
      </c>
      <c r="D10" s="4">
        <v>9</v>
      </c>
      <c r="E10" s="4" t="b">
        <v>1</v>
      </c>
      <c r="F10" s="2">
        <v>22331.73076923077</v>
      </c>
      <c r="G10" s="8"/>
    </row>
    <row r="11" spans="1:7" x14ac:dyDescent="0.55000000000000004">
      <c r="A11" s="2">
        <v>9</v>
      </c>
      <c r="B11" s="2" t="s">
        <v>59</v>
      </c>
      <c r="C11" s="3">
        <v>102.0833333333333</v>
      </c>
      <c r="D11" s="4">
        <v>2</v>
      </c>
      <c r="E11" s="4" t="b">
        <v>0</v>
      </c>
      <c r="F11" s="2">
        <v>4962.606837606837</v>
      </c>
      <c r="G11" s="8"/>
    </row>
    <row r="12" spans="1:7" x14ac:dyDescent="0.55000000000000004">
      <c r="A12" s="2">
        <v>10</v>
      </c>
      <c r="B12" s="2" t="s">
        <v>61</v>
      </c>
      <c r="C12" s="3">
        <v>153.125</v>
      </c>
      <c r="D12" s="4">
        <v>3</v>
      </c>
      <c r="E12" s="4" t="b">
        <v>0</v>
      </c>
      <c r="F12" s="2">
        <v>7443.9102564102559</v>
      </c>
      <c r="G12" s="8"/>
    </row>
    <row r="13" spans="1:7" x14ac:dyDescent="0.55000000000000004">
      <c r="A13" s="2">
        <v>11</v>
      </c>
      <c r="B13" s="2" t="s">
        <v>63</v>
      </c>
      <c r="C13" s="3">
        <v>612.5</v>
      </c>
      <c r="D13" s="4">
        <v>12</v>
      </c>
      <c r="E13" s="4" t="b">
        <v>1</v>
      </c>
      <c r="F13" s="2">
        <v>29775.64102564102</v>
      </c>
      <c r="G13" s="8"/>
    </row>
    <row r="14" spans="1:7" x14ac:dyDescent="0.55000000000000004">
      <c r="A14" s="2">
        <v>12</v>
      </c>
      <c r="B14" s="2" t="s">
        <v>65</v>
      </c>
      <c r="C14" s="3">
        <v>408.33333333333331</v>
      </c>
      <c r="D14" s="4">
        <v>8</v>
      </c>
      <c r="E14" s="4" t="b">
        <v>1</v>
      </c>
      <c r="F14" s="2">
        <v>19850.427350427351</v>
      </c>
      <c r="G14" s="8"/>
    </row>
    <row r="15" spans="1:7" x14ac:dyDescent="0.55000000000000004">
      <c r="A15" s="2">
        <v>13</v>
      </c>
      <c r="B15" s="2" t="s">
        <v>67</v>
      </c>
      <c r="C15" s="3">
        <v>102.0833333333333</v>
      </c>
      <c r="D15" s="4">
        <v>2</v>
      </c>
      <c r="E15" s="4" t="b">
        <v>0</v>
      </c>
      <c r="F15" s="2">
        <v>4962.606837606837</v>
      </c>
      <c r="G15" s="8"/>
    </row>
    <row r="16" spans="1:7" x14ac:dyDescent="0.55000000000000004">
      <c r="A16" s="2">
        <v>14</v>
      </c>
      <c r="B16" s="2" t="s">
        <v>69</v>
      </c>
      <c r="C16" s="3">
        <v>153.125</v>
      </c>
      <c r="D16" s="4">
        <v>3</v>
      </c>
      <c r="E16" s="4" t="b">
        <v>0</v>
      </c>
      <c r="F16" s="2">
        <v>7443.9102564102559</v>
      </c>
      <c r="G16" s="8"/>
    </row>
    <row r="17" spans="1:7" x14ac:dyDescent="0.55000000000000004">
      <c r="A17" s="2">
        <v>15</v>
      </c>
      <c r="B17" s="2" t="s">
        <v>71</v>
      </c>
      <c r="C17" s="3">
        <v>306.25</v>
      </c>
      <c r="D17" s="4">
        <v>6</v>
      </c>
      <c r="E17" s="4" t="b">
        <v>1</v>
      </c>
      <c r="F17" s="2">
        <v>14887.82051282051</v>
      </c>
      <c r="G17" s="8"/>
    </row>
    <row r="18" spans="1:7" x14ac:dyDescent="0.55000000000000004">
      <c r="A18" s="2">
        <v>16</v>
      </c>
      <c r="B18" s="2" t="s">
        <v>73</v>
      </c>
      <c r="C18" s="3">
        <v>204.16666666666671</v>
      </c>
      <c r="D18" s="4">
        <v>4</v>
      </c>
      <c r="E18" s="4" t="b">
        <v>1</v>
      </c>
      <c r="F18" s="2">
        <v>9925.2136752136739</v>
      </c>
      <c r="G18" s="8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pane ySplit="2" topLeftCell="A3" activePane="bottomLeft" state="frozen"/>
      <selection pane="bottomLeft" activeCell="D19" sqref="D19:E19"/>
    </sheetView>
  </sheetViews>
  <sheetFormatPr defaultRowHeight="14.4" x14ac:dyDescent="0.55000000000000004"/>
  <cols>
    <col min="1" max="1" width="6" customWidth="1"/>
    <col min="2" max="2" width="34" customWidth="1"/>
    <col min="3" max="3" width="62" customWidth="1"/>
    <col min="4" max="4" width="12" customWidth="1"/>
    <col min="5" max="5" width="14" customWidth="1"/>
    <col min="6" max="6" width="16" customWidth="1"/>
    <col min="7" max="7" width="18" customWidth="1"/>
  </cols>
  <sheetData>
    <row r="1" spans="1:7" x14ac:dyDescent="0.55000000000000004">
      <c r="A1" s="27" t="s">
        <v>124</v>
      </c>
      <c r="B1" s="28"/>
      <c r="C1" s="28"/>
      <c r="D1" s="28"/>
      <c r="E1" s="28"/>
      <c r="F1" s="28"/>
      <c r="G1" s="28"/>
    </row>
    <row r="2" spans="1:7" ht="28.8" x14ac:dyDescent="0.55000000000000004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</row>
    <row r="3" spans="1:7" x14ac:dyDescent="0.55000000000000004">
      <c r="A3" s="17">
        <v>1</v>
      </c>
      <c r="B3" s="25" t="s">
        <v>125</v>
      </c>
      <c r="C3" s="25" t="s">
        <v>126</v>
      </c>
      <c r="D3" s="19">
        <v>703.60824742268039</v>
      </c>
      <c r="E3" s="19">
        <v>10.5</v>
      </c>
      <c r="F3" s="17" t="b">
        <v>1</v>
      </c>
      <c r="G3" s="19">
        <v>36511.689135606648</v>
      </c>
    </row>
    <row r="4" spans="1:7" x14ac:dyDescent="0.55000000000000004">
      <c r="A4" s="17">
        <v>2</v>
      </c>
      <c r="B4" s="25" t="s">
        <v>127</v>
      </c>
      <c r="C4" s="25" t="s">
        <v>128</v>
      </c>
      <c r="D4" s="19">
        <v>603.09278350515467</v>
      </c>
      <c r="E4" s="19">
        <v>9</v>
      </c>
      <c r="F4" s="17" t="b">
        <v>1</v>
      </c>
      <c r="G4" s="19">
        <v>31295.733544805698</v>
      </c>
    </row>
    <row r="5" spans="1:7" x14ac:dyDescent="0.55000000000000004">
      <c r="A5" s="17">
        <v>3</v>
      </c>
      <c r="B5" s="25" t="s">
        <v>129</v>
      </c>
      <c r="C5" s="25" t="s">
        <v>130</v>
      </c>
      <c r="D5" s="19">
        <v>603.09278350515467</v>
      </c>
      <c r="E5" s="19">
        <v>9</v>
      </c>
      <c r="F5" s="17" t="b">
        <v>1</v>
      </c>
      <c r="G5" s="19">
        <v>31295.733544805698</v>
      </c>
    </row>
    <row r="6" spans="1:7" x14ac:dyDescent="0.55000000000000004">
      <c r="A6" s="17">
        <v>4</v>
      </c>
      <c r="B6" s="25" t="s">
        <v>131</v>
      </c>
      <c r="C6" s="25" t="s">
        <v>132</v>
      </c>
      <c r="D6" s="19">
        <v>536.08247422680415</v>
      </c>
      <c r="E6" s="19">
        <v>8</v>
      </c>
      <c r="F6" s="17" t="b">
        <v>1</v>
      </c>
      <c r="G6" s="19">
        <v>27818.429817605062</v>
      </c>
    </row>
    <row r="7" spans="1:7" x14ac:dyDescent="0.55000000000000004">
      <c r="A7" s="17">
        <v>5</v>
      </c>
      <c r="B7" s="25" t="s">
        <v>133</v>
      </c>
      <c r="C7" s="25" t="s">
        <v>134</v>
      </c>
      <c r="D7" s="19">
        <v>502.57731958762889</v>
      </c>
      <c r="E7" s="19">
        <v>7.5</v>
      </c>
      <c r="F7" s="17" t="b">
        <v>1</v>
      </c>
      <c r="G7" s="19">
        <v>26079.777954004749</v>
      </c>
    </row>
    <row r="8" spans="1:7" x14ac:dyDescent="0.55000000000000004">
      <c r="A8" s="17">
        <v>6</v>
      </c>
      <c r="B8" s="25" t="s">
        <v>135</v>
      </c>
      <c r="C8" s="25" t="s">
        <v>136</v>
      </c>
      <c r="D8" s="19">
        <v>469.07216494845358</v>
      </c>
      <c r="E8" s="19">
        <v>7</v>
      </c>
      <c r="F8" s="17" t="b">
        <v>1</v>
      </c>
      <c r="G8" s="19">
        <v>24341.126090404428</v>
      </c>
    </row>
    <row r="9" spans="1:7" x14ac:dyDescent="0.55000000000000004">
      <c r="A9" s="17">
        <v>7</v>
      </c>
      <c r="B9" s="25" t="s">
        <v>137</v>
      </c>
      <c r="C9" s="25" t="s">
        <v>138</v>
      </c>
      <c r="D9" s="19">
        <v>435.56701030927832</v>
      </c>
      <c r="E9" s="19">
        <v>6.5</v>
      </c>
      <c r="F9" s="17" t="b">
        <v>1</v>
      </c>
      <c r="G9" s="19">
        <v>22602.474226804108</v>
      </c>
    </row>
    <row r="10" spans="1:7" x14ac:dyDescent="0.55000000000000004">
      <c r="A10" s="17">
        <v>8</v>
      </c>
      <c r="B10" s="25" t="s">
        <v>139</v>
      </c>
      <c r="C10" s="25" t="s">
        <v>140</v>
      </c>
      <c r="D10" s="19">
        <v>402.06185567010311</v>
      </c>
      <c r="E10" s="19">
        <v>6</v>
      </c>
      <c r="F10" s="17" t="b">
        <v>1</v>
      </c>
      <c r="G10" s="19">
        <v>20863.822363203799</v>
      </c>
    </row>
    <row r="11" spans="1:7" x14ac:dyDescent="0.55000000000000004">
      <c r="A11" s="17">
        <v>9</v>
      </c>
      <c r="B11" s="25" t="s">
        <v>141</v>
      </c>
      <c r="C11" s="25" t="s">
        <v>142</v>
      </c>
      <c r="D11" s="19">
        <v>402.06185567010311</v>
      </c>
      <c r="E11" s="19">
        <v>6</v>
      </c>
      <c r="F11" s="17" t="b">
        <v>1</v>
      </c>
      <c r="G11" s="19">
        <v>20863.822363203799</v>
      </c>
    </row>
    <row r="12" spans="1:7" x14ac:dyDescent="0.55000000000000004">
      <c r="A12" s="17">
        <v>10</v>
      </c>
      <c r="B12" s="25" t="s">
        <v>143</v>
      </c>
      <c r="C12" s="25" t="s">
        <v>144</v>
      </c>
      <c r="D12" s="19">
        <v>368.55670103092791</v>
      </c>
      <c r="E12" s="19">
        <v>5.5</v>
      </c>
      <c r="F12" s="17" t="b">
        <v>1</v>
      </c>
      <c r="G12" s="19">
        <v>19125.170499603479</v>
      </c>
    </row>
    <row r="13" spans="1:7" x14ac:dyDescent="0.55000000000000004">
      <c r="A13" s="17">
        <v>11</v>
      </c>
      <c r="B13" s="25" t="s">
        <v>145</v>
      </c>
      <c r="C13" s="25" t="s">
        <v>146</v>
      </c>
      <c r="D13" s="19">
        <v>335.05154639175248</v>
      </c>
      <c r="E13" s="19">
        <v>5</v>
      </c>
      <c r="F13" s="17" t="b">
        <v>1</v>
      </c>
      <c r="G13" s="19">
        <v>17386.518636003158</v>
      </c>
    </row>
    <row r="14" spans="1:7" x14ac:dyDescent="0.55000000000000004">
      <c r="A14" s="20">
        <v>12</v>
      </c>
      <c r="B14" s="26" t="s">
        <v>147</v>
      </c>
      <c r="C14" s="26" t="s">
        <v>148</v>
      </c>
      <c r="D14" s="22">
        <v>301.54639175257728</v>
      </c>
      <c r="E14" s="22">
        <v>4.5</v>
      </c>
      <c r="F14" s="20" t="b">
        <v>0</v>
      </c>
      <c r="G14" s="22">
        <v>15647.866772402849</v>
      </c>
    </row>
    <row r="15" spans="1:7" x14ac:dyDescent="0.55000000000000004">
      <c r="A15" s="20">
        <v>13</v>
      </c>
      <c r="B15" s="26" t="s">
        <v>149</v>
      </c>
      <c r="C15" s="26" t="s">
        <v>150</v>
      </c>
      <c r="D15" s="22">
        <v>268.04123711340208</v>
      </c>
      <c r="E15" s="22">
        <v>4</v>
      </c>
      <c r="F15" s="20" t="b">
        <v>0</v>
      </c>
      <c r="G15" s="22">
        <v>13909.214908802531</v>
      </c>
    </row>
    <row r="16" spans="1:7" x14ac:dyDescent="0.55000000000000004">
      <c r="A16" s="20">
        <v>14</v>
      </c>
      <c r="B16" s="26" t="s">
        <v>151</v>
      </c>
      <c r="C16" s="26" t="s">
        <v>152</v>
      </c>
      <c r="D16" s="22">
        <v>234.53608247422679</v>
      </c>
      <c r="E16" s="22">
        <v>3.5</v>
      </c>
      <c r="F16" s="20" t="b">
        <v>0</v>
      </c>
      <c r="G16" s="22">
        <v>12170.563045202211</v>
      </c>
    </row>
    <row r="17" spans="1:7" x14ac:dyDescent="0.55000000000000004">
      <c r="A17" s="20">
        <v>15</v>
      </c>
      <c r="B17" s="26" t="s">
        <v>153</v>
      </c>
      <c r="C17" s="26" t="s">
        <v>154</v>
      </c>
      <c r="D17" s="22">
        <v>201.03092783505161</v>
      </c>
      <c r="E17" s="22">
        <v>3</v>
      </c>
      <c r="F17" s="20" t="b">
        <v>0</v>
      </c>
      <c r="G17" s="22">
        <v>10431.911181601899</v>
      </c>
    </row>
    <row r="18" spans="1:7" x14ac:dyDescent="0.55000000000000004">
      <c r="A18" s="20">
        <v>16</v>
      </c>
      <c r="B18" s="26" t="s">
        <v>155</v>
      </c>
      <c r="C18" s="26" t="s">
        <v>156</v>
      </c>
      <c r="D18" s="22">
        <v>134.02061855670101</v>
      </c>
      <c r="E18" s="22">
        <v>2</v>
      </c>
      <c r="F18" s="20" t="b">
        <v>0</v>
      </c>
      <c r="G18" s="22">
        <v>6954.6074544012654</v>
      </c>
    </row>
    <row r="19" spans="1:7" x14ac:dyDescent="0.55000000000000004">
      <c r="D19" s="15">
        <f>SUM(D3:D18)</f>
        <v>6500.0000000000009</v>
      </c>
      <c r="E19" s="15">
        <f>SUM(E3:E18)</f>
        <v>97</v>
      </c>
      <c r="G19" s="15">
        <f>SUM(G3:G18)</f>
        <v>337298.46153846133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2023</vt:lpstr>
      <vt:lpstr>2024</vt:lpstr>
      <vt:lpstr>2025</vt:lpstr>
      <vt:lpstr>Индексы_и_эластичность</vt:lpstr>
      <vt:lpstr>Графики</vt:lpstr>
      <vt:lpstr>2024_fixed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Mandritsa</cp:lastModifiedBy>
  <dcterms:created xsi:type="dcterms:W3CDTF">2026-02-07T16:43:09Z</dcterms:created>
  <dcterms:modified xsi:type="dcterms:W3CDTF">2026-02-11T19:22:58Z</dcterms:modified>
</cp:coreProperties>
</file>